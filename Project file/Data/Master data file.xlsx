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Dell\Downloads\Curated data\"/>
    </mc:Choice>
  </mc:AlternateContent>
  <xr:revisionPtr revIDLastSave="0" documentId="13_ncr:1_{C52D377B-DAEF-40E4-BF77-7854E8AC813C}" xr6:coauthVersionLast="47" xr6:coauthVersionMax="47" xr10:uidLastSave="{00000000-0000-0000-0000-000000000000}"/>
  <bookViews>
    <workbookView xWindow="-108" yWindow="-108" windowWidth="23256" windowHeight="12456" xr2:uid="{00000000-000D-0000-FFFF-FFFF00000000}"/>
  </bookViews>
  <sheets>
    <sheet name="Sheet2" sheetId="12" r:id="rId1"/>
    <sheet name="Sheet1" sheetId="11" r:id="rId2"/>
  </sheets>
  <definedNames>
    <definedName name="_xlnm._FilterDatabase" localSheetId="1" hidden="1">Sheet1!$A$1:$K$223</definedName>
    <definedName name="_xlnm._FilterDatabase" localSheetId="0" hidden="1">Sheet2!$A$1:$P$130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8" i="12" l="1"/>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23" i="12"/>
  <c r="I24" i="12"/>
  <c r="I25" i="12"/>
  <c r="I26" i="12"/>
  <c r="I27" i="12"/>
  <c r="I28" i="12"/>
  <c r="I29" i="12"/>
  <c r="I30" i="12"/>
  <c r="I31" i="12"/>
  <c r="I32" i="12"/>
  <c r="I33" i="12"/>
  <c r="I34" i="12"/>
  <c r="I35" i="12"/>
  <c r="I36" i="12"/>
  <c r="I37" i="12"/>
  <c r="I3" i="12"/>
  <c r="I4" i="12"/>
  <c r="I5" i="12"/>
  <c r="I6" i="12"/>
  <c r="I7" i="12"/>
  <c r="I8" i="12"/>
  <c r="I9" i="12"/>
  <c r="I10" i="12"/>
  <c r="I11" i="12"/>
  <c r="I12" i="12"/>
  <c r="I13" i="12"/>
  <c r="I14" i="12"/>
  <c r="I15" i="12"/>
  <c r="I16" i="12"/>
  <c r="I17" i="12"/>
  <c r="I18" i="12"/>
  <c r="I19" i="12"/>
  <c r="I20" i="12"/>
  <c r="I21" i="12"/>
  <c r="I22" i="12"/>
  <c r="I2" i="12"/>
</calcChain>
</file>

<file path=xl/sharedStrings.xml><?xml version="1.0" encoding="utf-8"?>
<sst xmlns="http://schemas.openxmlformats.org/spreadsheetml/2006/main" count="2519" uniqueCount="282">
  <si>
    <t>start_date</t>
  </si>
  <si>
    <t>country</t>
  </si>
  <si>
    <t>area_name</t>
  </si>
  <si>
    <t>shutdown_type</t>
  </si>
  <si>
    <t>ordered_by</t>
  </si>
  <si>
    <t>actual_cause</t>
  </si>
  <si>
    <t>duration</t>
  </si>
  <si>
    <t>event</t>
  </si>
  <si>
    <t>region</t>
  </si>
  <si>
    <t>Turkey</t>
  </si>
  <si>
    <t>Nationwide</t>
  </si>
  <si>
    <t>Shutdown</t>
  </si>
  <si>
    <t>Executive government</t>
  </si>
  <si>
    <t>Information control</t>
  </si>
  <si>
    <t>Other</t>
  </si>
  <si>
    <t>MENA</t>
  </si>
  <si>
    <t>Indonesia</t>
  </si>
  <si>
    <t>APAC</t>
  </si>
  <si>
    <t>United Arab Emirates</t>
  </si>
  <si>
    <t>Unknown</t>
  </si>
  <si>
    <t>Saudi Arabia</t>
  </si>
  <si>
    <t>Iran (Islamic Republic of)</t>
  </si>
  <si>
    <t>Lebanon</t>
  </si>
  <si>
    <t>Pakistan</t>
  </si>
  <si>
    <t>Qatar</t>
  </si>
  <si>
    <t>India</t>
  </si>
  <si>
    <t>Conflict</t>
  </si>
  <si>
    <t>TikTok, WeChat, and 57 other Chinese-made apps were banned in India beginning Jun. 29, 2020 with blocks remaining to this day following military clashes between Indian and Chinese troops in disputed territory.</t>
  </si>
  <si>
    <t>Ethiopia</t>
  </si>
  <si>
    <t>Africa</t>
  </si>
  <si>
    <t>Uganda</t>
  </si>
  <si>
    <t>Elections</t>
  </si>
  <si>
    <t>Russian Federation</t>
  </si>
  <si>
    <t>Throttle</t>
  </si>
  <si>
    <t>EECA</t>
  </si>
  <si>
    <t>Oman</t>
  </si>
  <si>
    <t>Jordan</t>
  </si>
  <si>
    <t>Protests</t>
  </si>
  <si>
    <t>China</t>
  </si>
  <si>
    <t>Nationwide except for HK SAR</t>
  </si>
  <si>
    <t>Myanmar</t>
  </si>
  <si>
    <t>Military</t>
  </si>
  <si>
    <t>Turkmenistan</t>
  </si>
  <si>
    <t>Shutdown, Throttle</t>
  </si>
  <si>
    <t>Tanzania, United Republic of</t>
  </si>
  <si>
    <t>Senegal</t>
  </si>
  <si>
    <t>Nepal</t>
  </si>
  <si>
    <t>Guinea</t>
  </si>
  <si>
    <t>Multiple social media platforms were blocked in Guinea between Nov. 24, 2023 until Feb. 23, 2024. No acknowledgment or justification was given by authorities, but the shutdowns came in the wake of heightened political instability, the escape of high-profile prisoners weeks prior, and blocks of multiple TV and radio broadcasters who were critical of the junta government. The shutdown ended within days of military leaders announcing they would dissolve the government.</t>
  </si>
  <si>
    <t>Communal violence</t>
  </si>
  <si>
    <t>Sudan</t>
  </si>
  <si>
    <t>Yemen</t>
  </si>
  <si>
    <t>Signal was likely blocked in Yemen in the beginning of 2024 until sometime in April, with another increase in anomalies and failures (OONI measurements) starting in August.</t>
  </si>
  <si>
    <t>Exam cheating</t>
  </si>
  <si>
    <t>Chad</t>
  </si>
  <si>
    <t>Comoros</t>
  </si>
  <si>
    <t>Authorities in Comoros disrupted internet access from 9:00 UTC+0 on Jan. 17 to 14:30 UTC+0 on Jan. 19. This shutdown was an attempt to quell post-election protests against the re-election of President Azali Assoumani, and was accompanied by violence where one person died and at least 25 were injured. This was the first recorded shutdown for Comoros.</t>
  </si>
  <si>
    <t>In the midst of protests against the postponement of the election, Senegalese authorities issued a mobile shutdown order with effect from 22:00 on Feb. 4. Traffic on Sudatel dropped at the specified time on Feb. 4 and was offline for most of the period until 7:30 on Feb. 7. Traffic on Tigo dropped at 9:30 on Feb. 5 and was severely disrupted until 0:00 on Feb. 7. Sonatel showed no change from normal traffic, so the provider likely did not follow the shutdown order. All times UTC+0 which is also local time.</t>
  </si>
  <si>
    <t>Azerbaijan</t>
  </si>
  <si>
    <t>Mobile internet was suspended on election day nationwide in Pakistan, Feb. 8, from 02:00 UTC+0 until 15:00 UTC+0 after polls had closed. The Pakistan Telecommunications Authority and Election Commission had both publicly committed to #KeepItOn in the week leading up to the election.</t>
  </si>
  <si>
    <t>In the midst of continued protests against the postponement of the election, Senegalese authorities issued another mobile shutdown order on Feb. 13. Tigo was the only network that showed evidence of following the order, and traffic on Tigo was disrupted from 10:15 to 19:45 on Feb. 13. All times UTC+0 which is also local time.</t>
  </si>
  <si>
    <t>X/Twitter was blocked across Pakistan 9 days after the Feb. 8 election on Feb. 17. Initially, on Mar. 13 the Information Minister Atta Tara denied any issues with X, but later, he admitted it was suspended from before they came into power from the election. On Apr. 17, the Sindh High Court directed the Ministry of Interior to rescind its letter to the Pakistan Telecommunication Authority (PTA) to block the platform. However, measurement data shows the block was active nationwide as of Feb. 2025.</t>
  </si>
  <si>
    <t>Political instability</t>
  </si>
  <si>
    <t>The internet was shutdown across Chad four times between Feb. 28 and Mar. 7 in the midst of violence between political parties and a security force deployment in N'Djamena. A prominent opposition leader, Yaya Dillo, was also killed during an exchange of gunfire, during which the internet and telephone lines were cut off. The first disruption was from 9:45 on Feb. 28 until 17:00 on Mar. 1, the second disruption was from 1:00 to 2:00 on Mar. 3, the third disruption was from 23:45 on Mar. 3 to 6:45 on Mar. 4, and the fourth disruption was from 1:30 to 7:00 on Mar. 7 (all times UTC+0).</t>
  </si>
  <si>
    <t>Ukraine</t>
  </si>
  <si>
    <t>Cuba</t>
  </si>
  <si>
    <t>The internet was disrupted for five hours across Cuba between around 7:20pm on Mar. 17 until 12:30am on Mar. 18 (all times UTC+0) in the midst of anti-government protests in Santiago.</t>
  </si>
  <si>
    <t>LAC</t>
  </si>
  <si>
    <t>Malaysia</t>
  </si>
  <si>
    <t>Grindr was blocked in Malaysia starting on Apr. 17. Not all networks have applied the block consistently, but it is ongoing into 2025.</t>
  </si>
  <si>
    <t>Kyrgyzstan</t>
  </si>
  <si>
    <t>Following an order originally drafted in Sept. 2023, authorities in Kyrgyzstan implemented a ban of TikTok starting Apr. 18 due to concerns over children's health and moral development. The block was implemented by means of TLS interference and is ongoing into 2025. The Ministry of Culture, the Ministry of Digital Development, State National Security Committee, and the Regulatory and Suspension Service of Communications all played a part in pushing for the ban.</t>
  </si>
  <si>
    <t>New Caledonia</t>
  </si>
  <si>
    <t>TikTok was blocked in the territory of New Caledonia from May 15 to May 29 by French authorities. The block was implemented by the state-run Post and Telecommunication Service which operates the sole mobile provider, Mobilis. The authorities were attempting to quell protests over controversial voting reforms, and used a state of emergency order from 1955 that allows them to restrict access to online platforms used to "[provoke] the commission of acts of terrorism." Civil society groups challenged the order in court. At least 7 people were killed and hundreds injured over the course of the protests. This is the first time France - a member of the Freedom Online Coalition - imposed an internet shutdown, but did so for an archipelago which was undergoing a decades long process of decolonization.</t>
  </si>
  <si>
    <t>Kazakhstan</t>
  </si>
  <si>
    <t>Iraq</t>
  </si>
  <si>
    <t>Syrian Arab Republic</t>
  </si>
  <si>
    <t>El Salvador</t>
  </si>
  <si>
    <t>Telegram was blocked in El Salvador on Jun. 1 during President Bukele's inauguration to silence voices critical of the government. There were anomalies on four separate ASNs according to OONI data. This was the first shutdown recorded in El Salvador.</t>
  </si>
  <si>
    <t>Algeria</t>
  </si>
  <si>
    <t>Kenya</t>
  </si>
  <si>
    <t>The internet was shutdown in Kenya from 13:30 to 20:45 (UTC+0) on Jun. 25 as evident by severe disruptions from multiple measurement sources. Authorities went back on their word not to shutdown the internet, and ISPs denied or contradicted themselves after the shutdown had occurred. According to indepedent and anonymous sources, Kenyan authorities ordered the tampering of subsea cable landing stations in order to shutdown the internet, which gave the appearance of a cable cut which are common in the region. Since they couldn't differentiate between inland circuits, four other countries had severe internet disruptions at the same time as well: Burundi, Rwanda, Tanzania, and Uganda. The shutdown coincided with a violent crackdown on protestors, including the firing of live rounds and tear gas, which resulted in at least five deaths and dozens of injuries on Jun. 25 alone.</t>
  </si>
  <si>
    <t>Mauritania</t>
  </si>
  <si>
    <t>Mobile internet was completely cutoff on Chinguitel and Mattel in Mauritania between 0:00 (UTC+0) on Jul. 2 to 0:00 (UTC+0) on Jul. 24 during protests against the results of a recent presidential election that were announced on Jul. 1. Similar to the shutdown in May 2023, Mauritel did not implement this shutdown, but the cutoff of the other two providers affected over 250,000 people. Three people died in custody after a crackdown on protests on Jul. 2 that resulted in mass arrests.</t>
  </si>
  <si>
    <t>YouTube was throttled across Russia beginning Jul. 11, with authorities blaming the slowdowns on faulty Google Global Cache equipment but sources confirming that the throttling was intentional as directed by Roskomnadzor. By Aug. 8, YouTube was completely blocked in Russia. Service was restored fully by Nov. 14.</t>
  </si>
  <si>
    <t>Signal was blocked in Myanmar beginning Jul. 14.</t>
  </si>
  <si>
    <t>Bangladesh</t>
  </si>
  <si>
    <t>Afghanistan</t>
  </si>
  <si>
    <t>The NTMC directed operators to shut down 3G and 4G mobile internet beginning at 1:29am local time on Jul. 18. Officials from the BTRC initially denied any involvement in the shutdown. According to measurement data, internet traffic (both mobile and broadband) started dropping around 8:00pm local time on Jul. 18, and was essentially blacked out by 9:30pm. Broadband service slowly returned between Jul. 23 and Jul. 24, but the mobile shutdown continued on most networks into the following week. Grameenphone and Robi Axiata came back online around 2:00pm local time on Jul. 28. Banglalink did not come online until 5:00am local time on Jul. 31. There were reports of persistent throttling between Jul. 28 and Jul. 31 as the coinciding platform blocks also continued. The shutdown overlapped with police violence against protestors which killed hundreds. Former ICT Minister Palak, the BTRC, and the Internet Service Providers Association of Bangladesh repeatedly blamed the shutdown on protestors damaging fiber cables and burning down data centers. An independent investigation weeks later confirmed there was no fire and confirmed Palak himself ordered the shutdown.</t>
  </si>
  <si>
    <t>At least 12 platforms were blocked across Bangladesh, beginning with an order to block Facebook and YouTube at 12:01am local time on Jul. 18 which directly proceeded the full mobile and broadband shutdown at 1:29am on Jul. 18. After mobile internet began to return again on Jul. 28, the NTMC published an updated order which continued the ordered blocking of 11 platforms. These blockings continued until Jul. 31, according to OONI data. Both the network shutdown and platform blockings were in effect at the same time, but resulted from separate orders at different times. The shutdown overlapped with police violence against protestors which killed hundreds.</t>
  </si>
  <si>
    <t>Equatorial Guinea</t>
  </si>
  <si>
    <t>Guinea-Bissau</t>
  </si>
  <si>
    <t>The internet was shutdown in Guinea-Bissau between 5:00 and 11:00 (UTC+0) on Jul. 27 on MTN, and between 15:00 and 16:00 (UTC+0) on Jul. 27 on Orange. These disruptions occurred in the context of planned protests surrounding the mass arrest of protestors months prior. There was also a full ban order on protests by the Ministry of Interior dated January 2024. This was the first recorded shutdown for Guinea-Bissau.</t>
  </si>
  <si>
    <t>Nigeria</t>
  </si>
  <si>
    <t>Authorities in Turkey blocked access to Instagram between Aug. 2 and Aug. 10 after Turkish officials alleged the platform removed condolence messages relating to Hamas’ political leader Ismail Haniyeh’s killing.</t>
  </si>
  <si>
    <t>Authorities in Bangladesh imposed an escalating series of shutdowns and blockings as protests ramped up again. An indefinite nationwide curfew was imposed at 6:00pm local time on Aug. 4. Mobile shutdown and platform blocks happened first, around 2:00pm local time on Aug. 4. No shutdown orders or directives were available. Grameenphone, Robi Axiata, Banglalink were all heavily impacted. Carnival and Earth Telecommunication saw spikes in usage as people likely have switched to their networks since the latest shutdown began. The full shutdown including broadband service started around 10:30am local time on Aug. 5. All services were restored around 1:30pm on Aug. 5 after former PM Sheikh Hasina had resigned and fled the country. This shutdown coincided with police violence and clashes which resulted in at least 91 deaths across the country.</t>
  </si>
  <si>
    <t>Venezuela</t>
  </si>
  <si>
    <t>Signal, X, Reddit, and Microsoft Teams were blocked in Venezuela starting Aug. 8 to crack down on dissent during post-election protests. These blocks were ongoing into 2025. During the blockings, authorities in Venezuela committed widespread human rights violations through deadly force against protestors, scores of arrests and disappearances, and an array of technology-enabled political violence. The results of the elections were widely considered fraudelent on the international stage.</t>
  </si>
  <si>
    <t>Signal was blocked across Russia beginning Aug. 9. The block was ongoing into 2025.</t>
  </si>
  <si>
    <t>Local government</t>
  </si>
  <si>
    <t>Signal was blocked on select mobile carriers in Pakistan starting around Aug. 26, 2024. On Nov. 6, it seems to have been applied across all providers measured by OONI.</t>
  </si>
  <si>
    <t>X was blocked on major ISPs in Tanzania on Aug. 30 in the midst of online campaigning from the opposition party and criticism of the ruling party's human right abuses. The platform was blocked by means of TLS interference.</t>
  </si>
  <si>
    <t>Brazil</t>
  </si>
  <si>
    <t>Judiciary</t>
  </si>
  <si>
    <t>X was blocked across Brazil from Aug. 31 to Oct. 11 following a legal disupte between Brazilian Supreme Court Justice Alexandre de Moraes and X owner Elon Musk. The block was implemented through IP blocking or DNS interference depending on the network. At least 25 tested networks, including the biggest Brazilian providers, showed signs of blocking. The ban was lifted on Oct. 8 after X paid fines and complied with court orders. ISPs gradually returned access in the following days.</t>
  </si>
  <si>
    <t>Telegram was blocked in El Salvador starting around 4:00am (UTC+0) on Sep. 15 during Independence Day to silence voices critical of the government. There were anomalies on six separate ASNs according to OONI data.</t>
  </si>
  <si>
    <t>X was blocked in Azerbaijan between Oct. 8 and Oct. 10 as confirmed by a high proportion of anomalies on OONI measurement data. This platform was targeted due to criticism and discourse circulating around the country's hosting of COP29 the following month.</t>
  </si>
  <si>
    <t>Authorities in Turkey banned Discord effective Oct. 8, 2024 following public outrage over incel groups which were using the platform to praise femicides and producing and sharing content related to animal torture and child abuse. Russian authorities blocked the platform on the same day. The block is ongoing into 2025. The Information and Communications Technologies Authority confirmed the ban.</t>
  </si>
  <si>
    <t>Discord was blocked across Russia beginning Oct. 8. This was the same day Turkish authorities blocked Discord. The block was ongoing into 2025.</t>
  </si>
  <si>
    <t>Mozambique</t>
  </si>
  <si>
    <t>The internet was shutdown in Mozambique between 9:45 on Oct. 25 and 6:15 on Oct. 26 (UTC+0) across multiple providers during violent post-election protests. During the shutdown itself, police forces fired live rounds into crowds, killing multiple protestors.</t>
  </si>
  <si>
    <t>There were reports of Facebook and WhatsApp being blocked with numerous anomalies recorded daily by OONI on the two platforms between Oct. 29 and Nov. 14. There were also curfew-style mobile shutdowns on the three major providers each day between Nov. 3 and Nov. 8 which occurred between approximately 17:30 to 6:00 the following morning (UTC+0). Both the platform blocks and curfew-style shutdowns were ongoing during a violent crackdown on protests where police killed at least 20 people and injured or arrested hundreds more.</t>
  </si>
  <si>
    <t>Mauritius</t>
  </si>
  <si>
    <t>Authorities in Mauritius banned all social media platforms, originally planned for Nov. 1 until Nov. 11 which was one day after the elections on Nov. 10. However, the order was rescinded and blocks lifted on Nov. 2 after pressure from civil society. During the ban, the blocks were implemented by means of TLS interference. This was the first recorded shutdown for Mauritius.</t>
  </si>
  <si>
    <t>Bluesky was temporarily blocked in Pakistan from Nov. 19 until at least Nov. 20. The Pakistan Telecommunication Authority (PTA) had not issued an order or statement confirming the blocking, but a spike in anomalies was detected on OONI data on top of many firsthand accounts confirming the platform was unavailable.</t>
  </si>
  <si>
    <t>YouTube was blocked for several hours on Nov. 23 during a live broadcast of opposition leaders and activists. CANTV, G-network, and Inter implemented a DNS-based block, while Movistar implemented an HTTP/HTTPS block.</t>
  </si>
  <si>
    <t>Viber was blocked across Russia starting in December. The block was ongoing into 2025.</t>
  </si>
  <si>
    <t>Belarus</t>
  </si>
  <si>
    <t>YouTube was blocked in Belarus during opposition leader Sviatlana Tsikhanouskaya’s New Year’s address for ~1-2 hours on Dec. 31 before midnight on Jan. 1, 2025 in Belarus. This follows a similar blocking at the end of 2023 during a similar speech by Tsikhanouskaya which lasted only ~25 minutes and did not meet our 1-hour threshold for a shutdown.</t>
  </si>
  <si>
    <t>Grindr and at least two other apps have been blocked in Indonesia since Sep. 15, 2016, and are ongoing into 2024.</t>
  </si>
  <si>
    <t>Grindr has been blocked in the United Arab Emirates since at least Oct. 28, 2016, and the block is ongoing into 2024. The blocking is currently implemented by means of TLS interference.</t>
  </si>
  <si>
    <t>Grindr has been blocked in Saudi Arabia since at least Feb. 9, 2017, and the block is ongoing into 2024. The blocking is currently implemented by means of TLS interference.</t>
  </si>
  <si>
    <t>Grindr has been blocked in Iran since at least May 12, 2017, and is ongoing into 2024.</t>
  </si>
  <si>
    <t>Grindr has been blocked in Lebanon since May 24, 2019, and the block is ongoing into 2024. The blocking is currently implemented by means of TLS interference.</t>
  </si>
  <si>
    <t>Grindr has been blocked in Pakistan since at least May 31, 2019, and the block is ongoing into 2024. There was an order sent by the Pakistani government on Sep. 1, 2020 blocking Grindr and other dating apps, but measurement data shows confirmed blockings since May 2019. The blocking is currently implemented by means of TLS interference.</t>
  </si>
  <si>
    <t>Grindr has been blocked in Qatar since at least Jan. 1, 2020, and the block is ongoing into 2024. The blocking is currently implemented by means of TLS interference.</t>
  </si>
  <si>
    <t>Clubhouse is still blocked across Oman.</t>
  </si>
  <si>
    <t>Grindr has been blocked in China since approximately Dec. 3, 2021, and the block is ongoing into 2024. The app was reportedly removed from Apple and Android app stores in early 2022. The blocking is currently implemented by means of DNS injection.</t>
  </si>
  <si>
    <t>Grindr has been blocked in Oman since at least Feb. 11, 2022, and the block is ongoing into 2024. The blocking is currently implemented by means of TLS interference.</t>
  </si>
  <si>
    <t>Russia implemented platform blocks started with a centralized throttling of Twitter on Feb. 26 and expanded to ordering ISPs to fully block Facebook, Twitter, and Instagram on Mar. 4. These shutdowns endeavored to suppress dissenting opinions about the invasion of Ukraine.</t>
  </si>
  <si>
    <t>Starting Sep. 21, WhatsApp and Instagram were blocked by ISPs across the country, with Skype, LinkedIn, and Viber soon to follow.</t>
  </si>
  <si>
    <t>Ethiopian authorities blocked access to Facebook, Telegram, TikTok, and YouTube between Feb. 9 and Jul. 17 following tensions between the government and Ethiopia Orthodox Church and subsequent protests.</t>
  </si>
  <si>
    <t>Suriname</t>
  </si>
  <si>
    <t>Facebook, WhatsApp, and Instagram were blocked during protests in Paramaribo, Suriname on Feb. 17 and remained blocked until early Feb. 18. This was implemented by the largest ISP, government-owned Telesur. The protests focused on economic policies and the heightened cost of living. The government also imposed a nightly curfew thereafter. This is the first reported shutdown in Suriname.</t>
  </si>
  <si>
    <t>Grindr was blocked in Tanzania starting Mar. 21. The block is ongoing as of early 2024.</t>
  </si>
  <si>
    <t>Internet services were suspended from 0:00 to 10:00 (UTC+0) on Apr. 16 across Sudan for the provider MTN, at the request of the government telco regulator.</t>
  </si>
  <si>
    <t>Internet services were completely shut off on the Sudatel network in Sudan between 00:15 (UTC+0) on Apr. 23 until 16:00 (UTC+0) on Apr. 24. Zain was also down on Apr. 24 for 10 hours. This shutdown coincided with heavy fighting between the two warring parties, alleged occupation of telco facilities by the RSF, and security forces blocking access for engineers to make repairs at data centers.</t>
  </si>
  <si>
    <t>Telegram was blocked across Brazil from Apr. 26 to Apr. 30 following a decision by a federal judge. After the block was implemented across multiple ISPs over the course of late Apr. 26 and early Apr. 27, the measure was reversed by a judge in higher court.</t>
  </si>
  <si>
    <t>14 messaging apps were blocked across all of India starting in early May 2023.</t>
  </si>
  <si>
    <t>The internet was shutdown across Cuba between 20:15 to 21:30 local time (UTC-5) on May 6, coinciding with protests in Caimanera.</t>
  </si>
  <si>
    <t>Following orders from the Pakistan Telecommunication Authority (PTA), mobile internet was completely disconnected on the largest providers in Pakistan starting May 9 until 17:00 UTC+0 on May 12. This shutdown coincided with large-scale protests over the arrest of former Prime Minister Imran Khan.</t>
  </si>
  <si>
    <t>Alongside the mobile shutdown which was ordered by the PTA, multiple social media platforms were also blocked starting May 9 following the arrest of Imran Khan and subsequent protests. The blocks were lifted on May 17.</t>
  </si>
  <si>
    <t>Multiple social media platforms were blocked in Guinea between May 17 to May 23 as anti-junta protests were growing. Authorities blamed the shutdown on a cable cut, despite other internet services still working outside of the social media blocks.</t>
  </si>
  <si>
    <t>Mobile internet was shutdown across Mauritania from 0:00 UTC+0 on May 31 to 0:00 UTC+0 on Jun. 7. This shutdown followed escalating protests in cities around the country after the death of a young man in police custody. Chinguitel and Mattel implemented the shutdown, while Mauritel did not (unlike in Mar. 2023 when all three providers implemented a shutdown).</t>
  </si>
  <si>
    <t>Multiple social media platforms were blocked in Senegal between Jun. 1 and Jun. 7 following protests against the sentencing of opposition leader Ousmane Sonko. Most blocks were lifted by Jun. 8, but Telegram Web remained blocked on provider Sonatel until Aug. 6.</t>
  </si>
  <si>
    <t>Alongside the social media blocks during ongoing protests, Senegalese authorities published a shutdown order for ISPs to turn off mobile internet on Jun. 4. This order corresponds with multiple disruptions on providers Free/Tigo and Sudatel Senegal between Jun. 3 and Jun. 6. Per Cloudflare analysis: "The disruptions on Free/Tigo took place on June 3 (15:30 - 19:00 UTC), June 4-5 (13:45 - 02:05 UTC), and June 5-6 (13:05 - 01:00 UTC) and though not complete outages, resulted in the loss of a significant volume of traffic from the network. The disruptions on Sudatel Senegal took place on June 3-5 (15:00 - 01:00 UTC) and June 5-6 (13:00 - 01:00 UTC)."</t>
  </si>
  <si>
    <t>The internet was severely throttled across Turkmenistan starting Jun. 28 with the unveiling ceremony of a new city, Arkadag. Internet traffic dropped to nearly zero on multiple providers, and stayed at levels ~70% of normal activity for months across the country.</t>
  </si>
  <si>
    <t>Russia disconnected access to the global internet between 2:00 to 4:00 (local time in Moscow) on Jul. 5 during testing of the functionality of sovereign Runet.</t>
  </si>
  <si>
    <t>Mobile internet was ordered to be suspended starting Jul. 31 by the Senegal Ministry of Communication. This followed the arrest of opposition leader Ousmane Sonko and an uptick in protests against the government. There were six consecutive days of blanket multi-hour shutdowns on Free/Tigo and Sudatel Senegal between Jul. 31 and Aug. 5.</t>
  </si>
  <si>
    <t>TikTok was blocked in Senegal starting Aug. 2 until around Aug. 9 during ongoing protests.</t>
  </si>
  <si>
    <t>Grindr was blocked in Jordan starting Aug. 8. The block is ongoing as of early 2024.</t>
  </si>
  <si>
    <t>Clubhouse was blocked in Tanzania starting Aug. 13. The block is ongoing as of early 2024.</t>
  </si>
  <si>
    <t>Gabon</t>
  </si>
  <si>
    <t>Gabon experience a complete, nationwide shutdown from 16:45 UTC on Aug. 26 until around 6:00 UTC on Aug. 30. The former government under Ali Bongo shut down the internet right before polling stations closed as the country was also placed under a curfew. There were protests in the following days, and the military seized power in a coup in the early morning hours of Aug. 30 on television. They lifted the shutdown order soon after.</t>
  </si>
  <si>
    <t>TikTok was blocked across Azerbaijan between Sep. 19 and Oct. 31, the onset of which coincided with a deadly military offensive by the Azerbaijani military into the Nagorno-Karabakh.</t>
  </si>
  <si>
    <t>Mozambique experienced an internet shutdown between 18:00 to 21:00 local time (UTC+2) on Oct. 11. This shutdown coincided with the closing of polls for 65 municipal elections across the country. The network most affected, Movitel, primarily serves the rural and north regions of the country. This was Mozambique's first recorded shutdown.</t>
  </si>
  <si>
    <t>Venezuela (Bolivarian Republic of)</t>
  </si>
  <si>
    <t>TikTok was ordered to be blocked by authorities in Nepal on Nov. 13, with measurement evidence confirming the block between Nov. 23 to Nov. 28 on at least two major providers. This was Nepal's first recorded shutdown.</t>
  </si>
  <si>
    <t>The internet was disrupted nationwide across providers from 6:00 to 7:00 UTC+0 on Nov. 18. The authorities blamed the outage on technical issues. The shutdown corresponds with the anniversary of Bloody November.</t>
  </si>
  <si>
    <t>Multiple social media platforms were blocked between Dec. 17 and Dec. 18 across Pakistan. This shutdown coincided with a virtual rally organized by Imran Khan's PTI party.</t>
  </si>
  <si>
    <t>On Mar. 15, 2021, following an anti-lockdown protest, Jordanian officials blocked Clubhouse, an audio-only social media app, on a number of major internet service providers (ISPs). It remained blocked as of early 2023, in addition to multiple VPN servers.</t>
  </si>
  <si>
    <t>Social media blocks are ongoing from late 2021 into early 2023. Also, in April 2022, the authorities blocked most VPN services and subnets of the world's largest hosting providers in the country. The average connection speed dropped to 22.4 KB/s.</t>
  </si>
  <si>
    <t>Uzbekistan</t>
  </si>
  <si>
    <t>Twitter, WeChat, and VKontakte were blocked in Uzbekistan from Nov. 3, 2021 until Aug. 1, 2022. A data localization law signed in January 2021 is still in effect and empowers the government to block social media platforms again in the future.</t>
  </si>
  <si>
    <t>Tajikistan</t>
  </si>
  <si>
    <t>Triggered by protests, the government imposed measurable mobile shutdowns starting Jan. 4 followed by a blackout of nearly 5 days straight between Jan. 5 - Jan. 11 with intermittent restorations of connectivity only for the president to give addresses.</t>
  </si>
  <si>
    <t>Burkina Faso</t>
  </si>
  <si>
    <t>Political upheaval and a failed coup attempt prompted a mobile internet shutdown for around half a day and Facebook blocking for around two weeks. The government acknowledged and tried to justify the Facebook blocking.</t>
  </si>
  <si>
    <t>The ~35 hour shutdown, affecting mobile and broadband services, occurred as a military uprising toppled the government. No government officials or ISPs acknowledged the shutdown.</t>
  </si>
  <si>
    <t>A mobile internet shutdown was implemented by the acting military junta from 4:00am to 11:00am local time on Feb. 12, in an effort to curb protests on a holiday promoted by the exiled government.</t>
  </si>
  <si>
    <t>Zimbabwe</t>
  </si>
  <si>
    <t>A Supreme Court judge in Brazil ordered that Telegram be blocked for alleged refusal to remove misinformation or block certain accounts as dictated by previous court orders. The ban was lifted after two days once Telegram made changes to combat misinformation.</t>
  </si>
  <si>
    <t>Tunisia</t>
  </si>
  <si>
    <t>Tunisian lawmakers convened an online session to vote on controversial measures taken the previous summer by President Saied, during which Zoom and Microsoft Teams were inaccessible nationwide. The platforms were blocked from around 13:00 to 16:00 UTC.</t>
  </si>
  <si>
    <t>Sri Lanka</t>
  </si>
  <si>
    <t>Due to mass protests and a curfew, the Telecommunications Regulatory Commission on the orders of the Ministry of Defense shut down social media services. The ban on social media services was lifted after 15 hours.</t>
  </si>
  <si>
    <t>In March 2022, Turkmenistan’s President, Serdar Berdimuhamedow, came into office amidst international criticism that the election was neither fair nor free, and continued the country's pattern of censorship and shutdowns on April 10th by shutting off the internet for the country for nearly 2 days.</t>
  </si>
  <si>
    <t>A nationwide shutdown was imposed from around 13:00 to 14:30 UTC on May 9 in the wake of escalating protests.</t>
  </si>
  <si>
    <t xml:space="preserve">The shutdown was implemented during the anti government protest. 9 were killed during the protest by the security forces. Authorities ordered the shutdowns to telecom companies in Sudan but there was no official justification by the government. - </t>
  </si>
  <si>
    <t>Sierra Leone</t>
  </si>
  <si>
    <t xml:space="preserve">A deadly anti-government protest erupted on August 10, 2022 in Sierra Leone. The internet was shutdown for approximately 2 hours starting 12:00 UTC. There was no official statement by the government however, Zoolabs, which manages the government owned optical fiber infrastructure company, Sierra Leone Cable, issued a public statement indicating the outage was due to emergency technical maintenance. </t>
  </si>
  <si>
    <t>Following the 2 hour shutdown on August 10th, 2022 in response to the anti-government protest, there was another shutdown from 1:00 - 7:30 UTC. There was no official statement or acknowledgement by the telecom. The shutdown timeframe seems strategic considering curfew was ordered from 7pm to 7am local time from Thursday (11th).</t>
  </si>
  <si>
    <t>TikTok was shutdown in Azerbaijan during a military conflict on the Armenia-Azerbaijan border on Sep. 13, and lasted until Sep. 16.</t>
  </si>
  <si>
    <t>Daily curfew-style shutdowns were imposed on Iran's three largest mobile networks from around 4:00pm to midnight (local time) between Sep. 21 and Oct. 3 (13 days straight)</t>
  </si>
  <si>
    <t>The Cuban government instituted a full blackout for two ~8 hours periods during protests over lack of electricity following Hurricane Ian.</t>
  </si>
  <si>
    <t>The mobile internet was shutdown nationally on the evening of Oct. 8, similar to previous curfew-style shutdowns the previous week.</t>
  </si>
  <si>
    <t>The mobile internet was shutdown nationally on Oct. 12 for approximately 14 hours during the day.</t>
  </si>
  <si>
    <t>The mobile internet was shutdown on Oct. 15 for approximately 12 hours during the day surrounding protests near the Evin prison.</t>
  </si>
  <si>
    <t>The Taliban issued a ban on TikTok across Afghanistan in Apr. 2022, with reports that the blocking went into effect in mid-October and lasted until early December.</t>
  </si>
  <si>
    <t>Starting in mid-October, Kazakhstan implemented social media and messaging app blocks to control information in the lead up to the election, as well as a reported shutdown on Nov. 26 in Astana in response to protestors during the presidential inauguration.</t>
  </si>
  <si>
    <t>On Oct. 25, the one-year anniversary of a military coup, a shutdown was implemented during massive protests. It lasted from 9:50am to 6:15pm (local time).</t>
  </si>
  <si>
    <t>In the midst of continued protests, the internet was suspended across Iran, primarily on the three largest mobile carriers, between 15:00 and 19:00 UTC on Nov. 21. Domestic services, via the National Information Network (NIN) were reportedly available, while the global internet was virtually inaccessible.</t>
  </si>
  <si>
    <t>TikTok was banned in Jordan beginning Dec. 16 after a police officer was killed in Maan during massive protests.</t>
  </si>
  <si>
    <t>National</t>
  </si>
  <si>
    <t>Facebook and many other social media platforms were shutdown on Jan 12, preceding the national elections in Uganda. Some platforms were restored by Feb 10. Facebook remained blocked.</t>
  </si>
  <si>
    <t xml:space="preserve">The Uganda government ordered the shutdown of broadband and mobile services starting Jan 13, which lasted until Jan 18. This shutdown was preceded of a service-base shutdown that outlasted it (see other entry). </t>
  </si>
  <si>
    <t>Signal messaging services were blocked on Jan 25 after a large increasing downloads.</t>
  </si>
  <si>
    <t>Internet was shutdown during 2 hours at Jan 27 during a protests in front of the Minister of Culture.</t>
  </si>
  <si>
    <t xml:space="preserve">The Military sent troops to IPSs and demand the shutdown of mobile and broadband services during the day of the Military coup.  </t>
  </si>
  <si>
    <t>The Ministry of Communications of Myanmar issued orders to block Facebook, Instragram and Twitter on Feb 3 for the Facebook, and on Feb 5 for other two.</t>
  </si>
  <si>
    <t>nationwide</t>
  </si>
  <si>
    <t>Service-based shutdowns occurred in Senegal amid protests against legal accusations of rape against opposition leader.</t>
  </si>
  <si>
    <t>Signal app was shutdown in China after a surge in downloads in Feb/March.</t>
  </si>
  <si>
    <t>Congo</t>
  </si>
  <si>
    <t>Congo suffered a full shutdown during its election at March 20 and a few days after.</t>
  </si>
  <si>
    <t xml:space="preserve">Social media were shutdown in anticipation of anti-government protests by recently banned right-wing political party which apposed the government's retreat in an agreement to expel the French Ambassador, as the government responses to the charges of Charlie Hebdo. 
</t>
  </si>
  <si>
    <t>Nationwde</t>
  </si>
  <si>
    <t xml:space="preserve">National </t>
  </si>
  <si>
    <t>Togo</t>
  </si>
  <si>
    <t xml:space="preserve">Nation wide </t>
  </si>
  <si>
    <t>NA</t>
  </si>
  <si>
    <t>Nation Wide</t>
  </si>
  <si>
    <t>As citizens were heading to the polls, the government shut down the internet</t>
  </si>
  <si>
    <t>The shutdown happened during a referendum on constitutional reforms as well as legislative election which took place on the same day. There had been series of protests agains the proposed referendum on constitutional reforms which could extend President Alpha Conde's presidential term limit.</t>
  </si>
  <si>
    <t>Burundi</t>
  </si>
  <si>
    <t>https://twitter.com/willynyamitwe/status/1262990657297108992</t>
  </si>
  <si>
    <t>Ecuador</t>
  </si>
  <si>
    <t>Mali</t>
  </si>
  <si>
    <t xml:space="preserve">This shutdown was recorded on ISOC's Pulse as 7 individual instances (data source: IODA). The records were also reflected on Google's internet traffic disruption report. Since the reason of this shutdown given in the source article ISOC published indicated that the set of shutdowns were all following the high school exam schedule, we recorded one instance for this shutdown. This is subject to further changes. </t>
  </si>
  <si>
    <t>Egypt</t>
  </si>
  <si>
    <t>The cutoff comes after a national conference, boycotted by the opposition, recommended constitutional changes that could extend president Idriss Deby’s rule until 2033.</t>
  </si>
  <si>
    <t>In December 2018, anti-austerity protests erupted in Jordan against a controversial fiscal reform bill. The protests ensued once a week for several weeks thereafter. Amid the protests, users in Jordan reported that they were unable to view live-streaming from Facebook. But they also reported that viewing live-streaming was otherwise possible when protests were not taking place.</t>
  </si>
  <si>
    <t>Sudanese authorities are blocking access to popular social media platforms used to organize and broadcast National anti-government protests triggered by an economic crisis, internet users say.</t>
  </si>
  <si>
    <t>Congo (Democratic Republic of the)</t>
  </si>
  <si>
    <t>Presidential Election</t>
  </si>
  <si>
    <t>On 7th January 2019, a military coup was attempted in Gabon in a bid to end more than 50 years of rule by President Ali Bongo’s family. The coup attempt was quickly foiled. Meanwhile, a curfew has been imposed and NetBlocks reported that access to the Internet has been shut down.</t>
  </si>
  <si>
    <t>Amid the ongoing citizen protests triggered by a sharp increase in the price of fuel, the government has evidently resorted to plunging the whole country into darkness in an internet shutdown potentially impacting over 17 million people.</t>
  </si>
  <si>
    <t>2 hours</t>
  </si>
  <si>
    <t>The Sri Lankan government blocked access to social media sites in the aftermath of the attacks that killed at least 207 people, in a bid to stop a spread of misinformation that could lead to further violence.</t>
  </si>
  <si>
    <t>This shutdown only showed up in Facebook Transparency Report. It's likely WhatsApp and Instagram are also affected.</t>
  </si>
  <si>
    <t>Benin</t>
  </si>
  <si>
    <t>Benin Shuts Down Social Media Access Amid Poll-Fueled Protests</t>
  </si>
  <si>
    <t>Facebook, WhatsApp, Instagram, YouTube, Viber, Snapchat and Facebook Messenger were blocked again in Sri Lanka, as of 5:00 p.m UTC Sunday 5 May 2019 (10:30 p.m local time), only days after service was restored following a previous blockade, according to network measurement data from the NetBlocks internet observatory.</t>
  </si>
  <si>
    <t>Multiple internet providers in Kazakhstan have blocked access to major social networks and online platforms Facebook, Instagram and YouTube as well as news and campaign websites on 9 May 2019, according to NetBlocks internet observatory network measurements.</t>
  </si>
  <si>
    <t>Sri Lanka widened a curfew on Monday after attacks on mosques and Muslim-owned businesses in the worst unrest since Easter bombings by Islamist militants and blocked Facebook and WhatsApp to stop people inciting violence.</t>
  </si>
  <si>
    <t>Europe</t>
  </si>
  <si>
    <t>The already-slow internet in Tajikistan ground even slower this week following criticism from President Emomali Rahmon, who expressed fears about the risk of online communication bolstering terrorism.
Speaking at a meeting of post-Soviet security officials on May 21, Rahmon said more needed to be done to combat the activity of extremists in the virtual space.
By the same evening, Tajik authorities had sprung into action, extending the blockages on websites to all Google resources, which meant that internet users could not access Gmail, YouTube or Google Drive, among other things. Twitter, Facebook, Instagram and other social media sites are also off-limits.</t>
  </si>
  <si>
    <t>The day after the election, Indonesia blocked the most popular social media services to "stop rumors from spreading."</t>
  </si>
  <si>
    <t>On June 5, Sudan’s Internet was disrupted yet again, starting with mobile phone service providers MTN and Mobitel and spreading to Sudan’s other mobile services. At the same time, security forces launched another crackdown on a sit-in in Khartoum...More than 100 civilians were reported killed, as the regime methodically shut off communication throughout the country. On Monday, the regime severed Sudan’s remaining Internet access, resulting in a “near total blackout.”</t>
  </si>
  <si>
    <t>Liberia</t>
  </si>
  <si>
    <t>The Liberian Government, on the day of the #SaveTheState protest, basically shutdown the Internet in the country. Social media sites including WhatsApp, Instagram, Snapchat, Facebook, Google’s Gmail service and the website of The Associated Press were among the sites affected to quell the protests.</t>
  </si>
  <si>
    <t>Facebook Transparency Report data showed 3 shutdowns during this case, 6/11-6/11, 6/11-6/12, and 6/12-6/18.</t>
  </si>
  <si>
    <t>Facebook Transparency Report data showed a shutdown on 6/12-6/13.</t>
  </si>
  <si>
    <t>Eritrea</t>
  </si>
  <si>
    <t>Record on Facebook Transparency Report, possibly related to the two shutdowns recorded between 6/22 and 7/29 in this database.</t>
  </si>
  <si>
    <t>National except Kurdish region</t>
  </si>
  <si>
    <t>National except Kurdish areas</t>
  </si>
  <si>
    <t>Protests demanding the President Kabila step down, after his government delayed elections.</t>
  </si>
  <si>
    <t>National exams.</t>
  </si>
  <si>
    <t>National Freedom Day.</t>
  </si>
  <si>
    <t>Iranian presidential election campaign.</t>
  </si>
  <si>
    <t>Sanctions for Russian annexation of Crimea.</t>
  </si>
  <si>
    <t>National exams/Oromo protests.</t>
  </si>
  <si>
    <t>Baccalaureate exams</t>
  </si>
  <si>
    <t>New Chinese cybersecuirty laws: https://www.nytimes.com/2017/05/31/business/china-cybersecurity-law.html</t>
  </si>
  <si>
    <t>North Korea</t>
  </si>
  <si>
    <t>Government in #EquatorialGuinea ordered internet blackout ahead of election.
Access to opposition websites had been blocked since 2013 and access to the social media website Facebook was stopped when the electoral campaign started on October 27.</t>
  </si>
  <si>
    <t>Massive protests calling for major policy reforms and regime change. Telegram and Instagram blocked, and a brief complete shutdown</t>
  </si>
  <si>
    <t>Presidential Election. Social Media blocked, Mobile internet for one day</t>
  </si>
  <si>
    <t>swearing-in of President Museveni</t>
  </si>
  <si>
    <t>secondary school exams/ongoing Oromo protests. Mobile data impacted.</t>
  </si>
  <si>
    <t>military uprising</t>
  </si>
  <si>
    <t>protests over arrest of journalist Ras Bath</t>
  </si>
  <si>
    <t>leaked emails allegedly from Berat Albayrak, minister of energy and natural resources who is also the son-in-law of Turkey's president, Recep Tayyip Erdogan.</t>
  </si>
  <si>
    <t>Montenegro</t>
  </si>
  <si>
    <t>protests against the detention of Diyarbakir mayor and co-mayor Gültan Kışanak and Fırat Anlı on terrorism charges</t>
  </si>
  <si>
    <t>Gambia</t>
  </si>
  <si>
    <t>presidential election</t>
  </si>
  <si>
    <t>regime_type</t>
  </si>
  <si>
    <t>Electoral Autocracy</t>
  </si>
  <si>
    <t>Closed Autocracy</t>
  </si>
  <si>
    <t>Electoral Democracy</t>
  </si>
  <si>
    <t>Liberal Democracy</t>
  </si>
  <si>
    <t>GDP_growth%</t>
  </si>
  <si>
    <t>Turkiye</t>
  </si>
  <si>
    <t>internet_penet%</t>
  </si>
  <si>
    <t>weekend_factor</t>
  </si>
  <si>
    <t>youth_bulge(15-29)</t>
  </si>
  <si>
    <t>shutdown_start</t>
  </si>
  <si>
    <t>protest_week_num</t>
  </si>
  <si>
    <t>GDP_percapita</t>
  </si>
  <si>
    <t>Urban_pop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</si>
</sst>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quot;/&quot;d&quot;/&quot;yyyy"/>
    <numFmt numFmtId="169" formatCode="0.00;[Red]0.00"/>
  </numFmts>
  <fonts count="6" x14ac:knownFonts="1">
    <font>
      <sz val="10"/>
      <color rgb="FF000000"/>
      <name val="Arial"/>
      <scheme val="minor"/>
    </font>
    <font>
      <b/>
      <sz val="10"/>
      <color theme="1"/>
      <name val="Arial"/>
    </font>
    <font>
      <sz val="10"/>
      <color theme="1"/>
      <name val="Arial"/>
    </font>
    <font>
      <sz val="10"/>
      <color theme="1"/>
      <name val="Arial"/>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left"/>
    </xf>
    <xf numFmtId="0" fontId="2" fillId="0" borderId="0" xfId="0" applyFont="1" applyAlignment="1">
      <alignment horizontal="left"/>
    </xf>
    <xf numFmtId="14" fontId="2" fillId="0" borderId="0" xfId="0" applyNumberFormat="1" applyFont="1" applyAlignment="1">
      <alignment horizontal="left"/>
    </xf>
    <xf numFmtId="0" fontId="2" fillId="2" borderId="0" xfId="0" applyFont="1" applyFill="1" applyAlignment="1">
      <alignment horizontal="left"/>
    </xf>
    <xf numFmtId="0" fontId="3" fillId="0" borderId="0" xfId="0" applyFont="1" applyAlignment="1">
      <alignment horizontal="left"/>
    </xf>
    <xf numFmtId="164" fontId="2" fillId="0" borderId="0" xfId="0" applyNumberFormat="1" applyFont="1" applyAlignment="1">
      <alignment horizontal="left"/>
    </xf>
    <xf numFmtId="14" fontId="1" fillId="0" borderId="0" xfId="0" applyNumberFormat="1" applyFont="1" applyAlignment="1">
      <alignment horizontal="left"/>
    </xf>
    <xf numFmtId="14" fontId="0" fillId="0" borderId="0" xfId="0" applyNumberFormat="1" applyAlignment="1">
      <alignment horizontal="left"/>
    </xf>
    <xf numFmtId="0" fontId="0" fillId="0" borderId="0" xfId="0" applyAlignment="1">
      <alignment horizontal="left"/>
    </xf>
    <xf numFmtId="1" fontId="1" fillId="0" borderId="0" xfId="0" applyNumberFormat="1" applyFont="1" applyAlignment="1">
      <alignment horizontal="left"/>
    </xf>
    <xf numFmtId="1" fontId="2" fillId="0" borderId="0" xfId="0" applyNumberFormat="1" applyFont="1" applyAlignment="1">
      <alignment horizontal="left"/>
    </xf>
    <xf numFmtId="1" fontId="0" fillId="0" borderId="0" xfId="0" applyNumberFormat="1" applyAlignment="1">
      <alignment horizontal="left"/>
    </xf>
    <xf numFmtId="0" fontId="4" fillId="0" borderId="0" xfId="0" applyFont="1" applyAlignment="1">
      <alignment horizontal="left"/>
    </xf>
    <xf numFmtId="0" fontId="5" fillId="0" borderId="0" xfId="0" applyFont="1" applyAlignment="1">
      <alignment horizontal="left"/>
    </xf>
    <xf numFmtId="0" fontId="0" fillId="0" borderId="0" xfId="0" applyAlignment="1">
      <alignment horizontal="center"/>
    </xf>
    <xf numFmtId="169" fontId="0" fillId="0" borderId="0" xfId="0" applyNumberFormat="1" applyAlignment="1">
      <alignment horizontal="center"/>
    </xf>
    <xf numFmtId="169" fontId="5" fillId="0" borderId="0" xfId="0" applyNumberFormat="1" applyFont="1" applyAlignment="1">
      <alignment horizontal="center"/>
    </xf>
    <xf numFmtId="169" fontId="2" fillId="0" borderId="0" xfId="0" applyNumberFormat="1" applyFont="1" applyAlignment="1">
      <alignment horizontal="center"/>
    </xf>
    <xf numFmtId="14" fontId="5" fillId="0" borderId="0" xfId="0" applyNumberFormat="1" applyFont="1" applyAlignment="1">
      <alignment horizontal="left"/>
    </xf>
    <xf numFmtId="1" fontId="5" fillId="0" borderId="0" xfId="0" applyNumberFormat="1" applyFont="1" applyAlignment="1">
      <alignment horizontal="center"/>
    </xf>
    <xf numFmtId="1" fontId="2" fillId="0" borderId="0" xfId="0" applyNumberFormat="1" applyFont="1" applyAlignment="1">
      <alignment horizontal="center"/>
    </xf>
    <xf numFmtId="1"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418-FE5C-467A-A792-DBDD3F8432AE}">
  <dimension ref="A1:P130"/>
  <sheetViews>
    <sheetView tabSelected="1" workbookViewId="0">
      <selection activeCell="G22" sqref="G22"/>
    </sheetView>
  </sheetViews>
  <sheetFormatPr defaultRowHeight="13.2" x14ac:dyDescent="0.25"/>
  <cols>
    <col min="1" max="1" width="13.21875" customWidth="1"/>
    <col min="2" max="3" width="18.77734375" customWidth="1"/>
    <col min="4" max="4" width="16.44140625" style="15" customWidth="1"/>
    <col min="5" max="5" width="20.109375" customWidth="1"/>
    <col min="6" max="6" width="13.44140625" customWidth="1"/>
    <col min="7" max="7" width="20.109375" customWidth="1"/>
    <col min="8" max="8" width="13.109375" customWidth="1"/>
    <col min="9" max="9" width="15.44140625" customWidth="1"/>
    <col min="10" max="10" width="16.44140625" style="16" customWidth="1"/>
    <col min="11" max="11" width="14" customWidth="1"/>
    <col min="12" max="12" width="14.5546875" customWidth="1"/>
    <col min="13" max="13" width="25.77734375" customWidth="1"/>
    <col min="14" max="14" width="13.77734375" customWidth="1"/>
    <col min="15" max="15" width="21.77734375" customWidth="1"/>
    <col min="16" max="16" width="15.77734375" customWidth="1"/>
  </cols>
  <sheetData>
    <row r="1" spans="1:16" x14ac:dyDescent="0.25">
      <c r="A1" s="19" t="s">
        <v>278</v>
      </c>
      <c r="B1" s="1" t="s">
        <v>1</v>
      </c>
      <c r="C1" s="14" t="s">
        <v>281</v>
      </c>
      <c r="D1" s="20" t="s">
        <v>279</v>
      </c>
      <c r="E1" s="1" t="s">
        <v>268</v>
      </c>
      <c r="F1" s="14" t="s">
        <v>275</v>
      </c>
      <c r="G1" s="14" t="s">
        <v>280</v>
      </c>
      <c r="H1" s="1" t="s">
        <v>273</v>
      </c>
      <c r="I1" s="7" t="s">
        <v>276</v>
      </c>
      <c r="J1" s="17" t="s">
        <v>277</v>
      </c>
      <c r="K1" s="1" t="s">
        <v>2</v>
      </c>
      <c r="L1" s="1" t="s">
        <v>3</v>
      </c>
      <c r="M1" s="1" t="s">
        <v>4</v>
      </c>
      <c r="N1" s="1" t="s">
        <v>5</v>
      </c>
      <c r="O1" s="1" t="s">
        <v>7</v>
      </c>
      <c r="P1" s="1" t="s">
        <v>8</v>
      </c>
    </row>
    <row r="2" spans="1:16" x14ac:dyDescent="0.25">
      <c r="A2" s="3">
        <v>44851</v>
      </c>
      <c r="B2" s="2" t="s">
        <v>87</v>
      </c>
      <c r="C2">
        <v>26.616</v>
      </c>
      <c r="D2" s="21">
        <v>0</v>
      </c>
      <c r="E2" t="s">
        <v>270</v>
      </c>
      <c r="F2">
        <v>17.191700000000001</v>
      </c>
      <c r="G2">
        <v>357.26115279814388</v>
      </c>
      <c r="H2">
        <v>-7.58</v>
      </c>
      <c r="I2" s="3" t="str">
        <f>IF(OR(WEEKDAY(A2)=6,WEEKDAY(A2)=7,WEEKDAY(A2)=1),"Weekend","Weekday")</f>
        <v>Weekday</v>
      </c>
      <c r="J2" s="16">
        <v>29.5</v>
      </c>
      <c r="K2" s="2" t="s">
        <v>10</v>
      </c>
      <c r="L2" s="2" t="s">
        <v>11</v>
      </c>
      <c r="M2" s="2" t="s">
        <v>12</v>
      </c>
      <c r="N2" s="2" t="s">
        <v>13</v>
      </c>
      <c r="O2" s="2" t="s">
        <v>188</v>
      </c>
      <c r="P2" s="2" t="s">
        <v>17</v>
      </c>
    </row>
    <row r="3" spans="1:16" x14ac:dyDescent="0.25">
      <c r="A3" s="3">
        <v>43517</v>
      </c>
      <c r="B3" s="2" t="s">
        <v>79</v>
      </c>
      <c r="C3">
        <v>73.188999999999993</v>
      </c>
      <c r="D3" s="21">
        <v>41</v>
      </c>
      <c r="E3" t="s">
        <v>269</v>
      </c>
      <c r="F3">
        <v>55.790700000000001</v>
      </c>
      <c r="G3">
        <v>4468.4534188365624</v>
      </c>
      <c r="H3">
        <v>3.3</v>
      </c>
      <c r="I3" s="3" t="str">
        <f>IF(OR(WEEKDAY(A3)=6,WEEKDAY(A3)=7,WEEKDAY(A3)=1),"Weekend","Weekday")</f>
        <v>Weekday</v>
      </c>
      <c r="J3" s="16">
        <v>22.2</v>
      </c>
      <c r="K3" s="2" t="s">
        <v>193</v>
      </c>
      <c r="L3" s="2" t="s">
        <v>11</v>
      </c>
      <c r="M3" s="2" t="s">
        <v>12</v>
      </c>
      <c r="N3" s="2" t="s">
        <v>37</v>
      </c>
      <c r="O3" s="2"/>
      <c r="P3" s="2" t="s">
        <v>15</v>
      </c>
    </row>
    <row r="4" spans="1:16" x14ac:dyDescent="0.25">
      <c r="A4" s="3">
        <v>44817</v>
      </c>
      <c r="B4" s="2" t="s">
        <v>58</v>
      </c>
      <c r="C4">
        <v>57.17</v>
      </c>
      <c r="D4" s="21">
        <v>3</v>
      </c>
      <c r="E4" t="s">
        <v>269</v>
      </c>
      <c r="F4">
        <v>88</v>
      </c>
      <c r="G4">
        <v>7770.5942233509959</v>
      </c>
      <c r="H4">
        <v>4.67</v>
      </c>
      <c r="I4" s="3" t="str">
        <f>IF(OR(WEEKDAY(A4)=6,WEEKDAY(A4)=7,WEEKDAY(A4)=1),"Weekend","Weekday")</f>
        <v>Weekday</v>
      </c>
      <c r="J4" s="16">
        <v>20.7</v>
      </c>
      <c r="K4" s="2" t="s">
        <v>10</v>
      </c>
      <c r="L4" s="2" t="s">
        <v>11</v>
      </c>
      <c r="M4" s="2" t="s">
        <v>12</v>
      </c>
      <c r="N4" s="2" t="s">
        <v>26</v>
      </c>
      <c r="O4" s="2" t="s">
        <v>182</v>
      </c>
      <c r="P4" s="2" t="s">
        <v>34</v>
      </c>
    </row>
    <row r="5" spans="1:16" x14ac:dyDescent="0.25">
      <c r="A5" s="3">
        <v>45188</v>
      </c>
      <c r="B5" s="2" t="s">
        <v>58</v>
      </c>
      <c r="C5">
        <v>57.576999999999998</v>
      </c>
      <c r="D5" s="21">
        <v>1</v>
      </c>
      <c r="E5" t="s">
        <v>269</v>
      </c>
      <c r="F5">
        <v>89</v>
      </c>
      <c r="G5">
        <v>7133.0283804832843</v>
      </c>
      <c r="H5">
        <v>1.23</v>
      </c>
      <c r="I5" s="3" t="str">
        <f>IF(OR(WEEKDAY(A5)=6,WEEKDAY(A5)=7,WEEKDAY(A5)=1),"Weekend","Weekday")</f>
        <v>Weekday</v>
      </c>
      <c r="J5" s="16">
        <v>20.3</v>
      </c>
      <c r="K5" s="2" t="s">
        <v>10</v>
      </c>
      <c r="L5" s="2" t="s">
        <v>11</v>
      </c>
      <c r="M5" s="2" t="s">
        <v>12</v>
      </c>
      <c r="N5" s="2" t="s">
        <v>26</v>
      </c>
      <c r="O5" s="2" t="s">
        <v>154</v>
      </c>
      <c r="P5" s="2" t="s">
        <v>34</v>
      </c>
    </row>
    <row r="6" spans="1:16" x14ac:dyDescent="0.25">
      <c r="A6" s="3">
        <v>45573</v>
      </c>
      <c r="B6" s="2" t="s">
        <v>58</v>
      </c>
      <c r="C6">
        <v>57.997</v>
      </c>
      <c r="D6" s="21">
        <v>0</v>
      </c>
      <c r="E6" t="s">
        <v>269</v>
      </c>
      <c r="F6">
        <v>90</v>
      </c>
      <c r="G6">
        <v>7283.835629548722</v>
      </c>
      <c r="H6">
        <v>3.57</v>
      </c>
      <c r="I6" s="3" t="str">
        <f>IF(OR(WEEKDAY(A6)=6,WEEKDAY(A6)=7,WEEKDAY(A6)=1),"Weekend","Weekday")</f>
        <v>Weekday</v>
      </c>
      <c r="J6" s="18">
        <v>20</v>
      </c>
      <c r="K6" s="2" t="s">
        <v>10</v>
      </c>
      <c r="L6" s="2" t="s">
        <v>11</v>
      </c>
      <c r="M6" s="2" t="s">
        <v>12</v>
      </c>
      <c r="N6" s="2" t="s">
        <v>13</v>
      </c>
      <c r="O6" s="2" t="s">
        <v>106</v>
      </c>
      <c r="P6" s="2" t="s">
        <v>34</v>
      </c>
    </row>
    <row r="7" spans="1:16" x14ac:dyDescent="0.25">
      <c r="A7" s="3">
        <v>43425</v>
      </c>
      <c r="B7" s="2" t="s">
        <v>86</v>
      </c>
      <c r="C7">
        <v>36.631999999999998</v>
      </c>
      <c r="D7" s="21">
        <v>1</v>
      </c>
      <c r="E7" t="s">
        <v>269</v>
      </c>
      <c r="F7">
        <v>25.6</v>
      </c>
      <c r="G7">
        <v>1965.2437273146677</v>
      </c>
      <c r="H7">
        <v>6.44</v>
      </c>
      <c r="I7" s="3" t="str">
        <f>IF(OR(WEEKDAY(A7)=6,WEEKDAY(A7)=7,WEEKDAY(A7)=1),"Weekend","Weekday")</f>
        <v>Weekday</v>
      </c>
      <c r="J7" s="16">
        <v>27.6</v>
      </c>
      <c r="K7" s="2" t="s">
        <v>10</v>
      </c>
      <c r="L7" s="2" t="s">
        <v>11</v>
      </c>
      <c r="M7" s="2" t="s">
        <v>12</v>
      </c>
      <c r="N7" s="2" t="s">
        <v>13</v>
      </c>
      <c r="O7" s="2"/>
      <c r="P7" s="2" t="s">
        <v>17</v>
      </c>
    </row>
    <row r="8" spans="1:16" x14ac:dyDescent="0.25">
      <c r="A8" s="3">
        <v>45491</v>
      </c>
      <c r="B8" s="2" t="s">
        <v>86</v>
      </c>
      <c r="C8">
        <v>41.23</v>
      </c>
      <c r="D8" s="21">
        <v>20</v>
      </c>
      <c r="E8" t="s">
        <v>269</v>
      </c>
      <c r="F8">
        <v>44.5</v>
      </c>
      <c r="G8">
        <v>2593.4160739040708</v>
      </c>
      <c r="H8">
        <v>2.96</v>
      </c>
      <c r="I8" s="3" t="str">
        <f>IF(OR(WEEKDAY(A8)=6,WEEKDAY(A8)=7,WEEKDAY(A8)=1),"Weekend","Weekday")</f>
        <v>Weekday</v>
      </c>
      <c r="J8" s="16">
        <v>25.6</v>
      </c>
      <c r="K8" s="2" t="s">
        <v>10</v>
      </c>
      <c r="L8" s="2" t="s">
        <v>11</v>
      </c>
      <c r="M8" s="2" t="s">
        <v>12</v>
      </c>
      <c r="N8" s="2" t="s">
        <v>37</v>
      </c>
      <c r="O8" s="2" t="s">
        <v>89</v>
      </c>
      <c r="P8" s="2" t="s">
        <v>17</v>
      </c>
    </row>
    <row r="9" spans="1:16" x14ac:dyDescent="0.25">
      <c r="A9" s="3">
        <v>45508</v>
      </c>
      <c r="B9" s="2" t="s">
        <v>86</v>
      </c>
      <c r="C9">
        <v>41.23</v>
      </c>
      <c r="D9" s="21">
        <v>1</v>
      </c>
      <c r="E9" t="s">
        <v>269</v>
      </c>
      <c r="F9">
        <v>44.5</v>
      </c>
      <c r="G9">
        <v>2593.4160739040708</v>
      </c>
      <c r="H9">
        <v>2.96</v>
      </c>
      <c r="I9" s="3" t="str">
        <f>IF(OR(WEEKDAY(A9)=6,WEEKDAY(A9)=7,WEEKDAY(A9)=1),"Weekend","Weekday")</f>
        <v>Weekend</v>
      </c>
      <c r="J9" s="16">
        <v>25.6</v>
      </c>
      <c r="K9" s="2" t="s">
        <v>10</v>
      </c>
      <c r="L9" s="2" t="s">
        <v>11</v>
      </c>
      <c r="M9" s="2" t="s">
        <v>12</v>
      </c>
      <c r="N9" s="2" t="s">
        <v>37</v>
      </c>
      <c r="O9" s="2" t="s">
        <v>95</v>
      </c>
      <c r="P9" s="2" t="s">
        <v>17</v>
      </c>
    </row>
    <row r="10" spans="1:16" x14ac:dyDescent="0.25">
      <c r="A10" s="3">
        <v>44052</v>
      </c>
      <c r="B10" s="2" t="s">
        <v>117</v>
      </c>
      <c r="C10">
        <v>79.483000000000004</v>
      </c>
      <c r="D10" s="21">
        <v>7</v>
      </c>
      <c r="E10" t="s">
        <v>269</v>
      </c>
      <c r="F10">
        <v>85.087900000000005</v>
      </c>
      <c r="G10">
        <v>6542.8557997676771</v>
      </c>
      <c r="H10">
        <v>4.5199999999999996</v>
      </c>
      <c r="I10" s="3" t="str">
        <f>IF(OR(WEEKDAY(A10)=6,WEEKDAY(A10)=7,WEEKDAY(A10)=1),"Weekend","Weekday")</f>
        <v>Weekend</v>
      </c>
      <c r="J10" s="16">
        <v>15.8</v>
      </c>
      <c r="K10" s="2" t="s">
        <v>207</v>
      </c>
      <c r="L10" s="2" t="s">
        <v>43</v>
      </c>
      <c r="M10" s="2" t="s">
        <v>12</v>
      </c>
      <c r="N10" s="2" t="s">
        <v>31</v>
      </c>
      <c r="O10" s="2"/>
      <c r="P10" s="2" t="s">
        <v>34</v>
      </c>
    </row>
    <row r="11" spans="1:16" x14ac:dyDescent="0.25">
      <c r="A11" s="3">
        <v>45657</v>
      </c>
      <c r="B11" s="2" t="s">
        <v>117</v>
      </c>
      <c r="C11">
        <v>81.125</v>
      </c>
      <c r="D11" s="21">
        <v>0</v>
      </c>
      <c r="E11" t="s">
        <v>270</v>
      </c>
      <c r="F11">
        <v>94.261799999999994</v>
      </c>
      <c r="G11">
        <v>8316.6477629153324</v>
      </c>
      <c r="H11">
        <v>-0.25</v>
      </c>
      <c r="I11" s="3" t="str">
        <f>IF(OR(WEEKDAY(A11)=6,WEEKDAY(A11)=7,WEEKDAY(A11)=1),"Weekend","Weekday")</f>
        <v>Weekday</v>
      </c>
      <c r="J11" s="16">
        <v>15.1</v>
      </c>
      <c r="K11" s="2" t="s">
        <v>10</v>
      </c>
      <c r="L11" s="2" t="s">
        <v>11</v>
      </c>
      <c r="M11" s="2" t="s">
        <v>12</v>
      </c>
      <c r="N11" s="2" t="s">
        <v>13</v>
      </c>
      <c r="O11" s="2" t="s">
        <v>118</v>
      </c>
      <c r="P11" s="2" t="s">
        <v>34</v>
      </c>
    </row>
    <row r="12" spans="1:16" x14ac:dyDescent="0.25">
      <c r="A12" s="3">
        <v>43586</v>
      </c>
      <c r="B12" s="2" t="s">
        <v>230</v>
      </c>
      <c r="C12">
        <v>47.860999999999997</v>
      </c>
      <c r="D12" s="21">
        <v>0</v>
      </c>
      <c r="E12" t="s">
        <v>269</v>
      </c>
      <c r="F12">
        <v>20.5</v>
      </c>
      <c r="G12">
        <v>1130.8213533979497</v>
      </c>
      <c r="H12">
        <v>3.98</v>
      </c>
      <c r="I12" s="3" t="str">
        <f>IF(OR(WEEKDAY(A12)=6,WEEKDAY(A12)=7,WEEKDAY(A12)=1),"Weekend","Weekday")</f>
        <v>Weekday</v>
      </c>
      <c r="J12" s="18">
        <v>28</v>
      </c>
      <c r="K12" s="2" t="s">
        <v>193</v>
      </c>
      <c r="L12" s="2" t="s">
        <v>43</v>
      </c>
      <c r="M12" s="2" t="s">
        <v>12</v>
      </c>
      <c r="N12" s="2" t="s">
        <v>37</v>
      </c>
      <c r="O12" s="2" t="s">
        <v>231</v>
      </c>
      <c r="P12" s="2" t="s">
        <v>29</v>
      </c>
    </row>
    <row r="13" spans="1:16" x14ac:dyDescent="0.25">
      <c r="A13" s="3">
        <v>44638</v>
      </c>
      <c r="B13" s="2" t="s">
        <v>102</v>
      </c>
      <c r="C13">
        <v>87.555000000000007</v>
      </c>
      <c r="D13" s="21">
        <v>27</v>
      </c>
      <c r="E13" t="s">
        <v>271</v>
      </c>
      <c r="F13">
        <v>80.527799999999999</v>
      </c>
      <c r="G13">
        <v>9281.33334441234</v>
      </c>
      <c r="H13">
        <v>2.65</v>
      </c>
      <c r="I13" s="3" t="str">
        <f>IF(OR(WEEKDAY(A13)=6,WEEKDAY(A13)=7,WEEKDAY(A13)=1),"Weekend","Weekday")</f>
        <v>Weekend</v>
      </c>
      <c r="J13" s="16">
        <v>23.1</v>
      </c>
      <c r="K13" s="2" t="s">
        <v>10</v>
      </c>
      <c r="L13" s="2" t="s">
        <v>11</v>
      </c>
      <c r="M13" s="2" t="s">
        <v>103</v>
      </c>
      <c r="N13" s="2" t="s">
        <v>31</v>
      </c>
      <c r="O13" s="2" t="s">
        <v>171</v>
      </c>
      <c r="P13" s="2" t="s">
        <v>67</v>
      </c>
    </row>
    <row r="14" spans="1:16" x14ac:dyDescent="0.25">
      <c r="A14" s="3">
        <v>45042</v>
      </c>
      <c r="B14" s="2" t="s">
        <v>102</v>
      </c>
      <c r="C14">
        <v>87.787999999999997</v>
      </c>
      <c r="D14" s="21">
        <v>6</v>
      </c>
      <c r="E14" t="s">
        <v>271</v>
      </c>
      <c r="F14">
        <v>84.150599999999997</v>
      </c>
      <c r="G14">
        <v>10377.589279255684</v>
      </c>
      <c r="H14">
        <v>2.83</v>
      </c>
      <c r="I14" s="3" t="str">
        <f>IF(OR(WEEKDAY(A14)=6,WEEKDAY(A14)=7,WEEKDAY(A14)=1),"Weekend","Weekday")</f>
        <v>Weekday</v>
      </c>
      <c r="J14" s="16">
        <v>23.4</v>
      </c>
      <c r="K14" s="2" t="s">
        <v>10</v>
      </c>
      <c r="L14" s="2" t="s">
        <v>11</v>
      </c>
      <c r="M14" s="2" t="s">
        <v>103</v>
      </c>
      <c r="N14" s="2" t="s">
        <v>13</v>
      </c>
      <c r="O14" s="2" t="s">
        <v>137</v>
      </c>
      <c r="P14" s="2" t="s">
        <v>67</v>
      </c>
    </row>
    <row r="15" spans="1:16" x14ac:dyDescent="0.25">
      <c r="A15" s="3">
        <v>44571</v>
      </c>
      <c r="B15" s="2" t="s">
        <v>166</v>
      </c>
      <c r="C15">
        <v>31.876999999999999</v>
      </c>
      <c r="D15" s="21">
        <v>9</v>
      </c>
      <c r="E15" t="s">
        <v>269</v>
      </c>
      <c r="F15">
        <v>14.623799999999999</v>
      </c>
      <c r="G15">
        <v>836.11830459368207</v>
      </c>
      <c r="H15">
        <v>-0.82</v>
      </c>
      <c r="I15" s="3" t="str">
        <f>IF(OR(WEEKDAY(A15)=6,WEEKDAY(A15)=7,WEEKDAY(A15)=1),"Weekend","Weekday")</f>
        <v>Weekday</v>
      </c>
      <c r="J15" s="16">
        <v>28.3</v>
      </c>
      <c r="K15" s="2" t="s">
        <v>10</v>
      </c>
      <c r="L15" s="2" t="s">
        <v>11</v>
      </c>
      <c r="M15" s="2" t="s">
        <v>12</v>
      </c>
      <c r="N15" s="2" t="s">
        <v>62</v>
      </c>
      <c r="O15" s="2" t="s">
        <v>167</v>
      </c>
      <c r="P15" s="2" t="s">
        <v>29</v>
      </c>
    </row>
    <row r="16" spans="1:16" x14ac:dyDescent="0.25">
      <c r="A16" s="3">
        <v>42469</v>
      </c>
      <c r="B16" s="2" t="s">
        <v>54</v>
      </c>
      <c r="C16">
        <v>22.677</v>
      </c>
      <c r="D16" s="21">
        <v>0</v>
      </c>
      <c r="E16" t="s">
        <v>269</v>
      </c>
      <c r="F16">
        <v>5.8</v>
      </c>
      <c r="G16">
        <v>861.83176763074607</v>
      </c>
      <c r="H16">
        <v>-7.09</v>
      </c>
      <c r="I16" s="3" t="str">
        <f>IF(OR(WEEKDAY(A16)=6,WEEKDAY(A16)=7,WEEKDAY(A16)=1),"Weekend","Weekday")</f>
        <v>Weekend</v>
      </c>
      <c r="J16" s="16">
        <v>26.7</v>
      </c>
      <c r="K16" s="2" t="s">
        <v>200</v>
      </c>
      <c r="L16" s="2" t="s">
        <v>11</v>
      </c>
      <c r="M16" s="2" t="s">
        <v>12</v>
      </c>
      <c r="N16" s="2" t="s">
        <v>31</v>
      </c>
      <c r="O16" s="2" t="s">
        <v>258</v>
      </c>
      <c r="P16" s="2" t="s">
        <v>29</v>
      </c>
    </row>
    <row r="17" spans="1:16" x14ac:dyDescent="0.25">
      <c r="A17" s="3">
        <v>43125</v>
      </c>
      <c r="B17" s="2" t="s">
        <v>54</v>
      </c>
      <c r="C17">
        <v>23.059000000000001</v>
      </c>
      <c r="D17" s="21">
        <v>2</v>
      </c>
      <c r="E17" t="s">
        <v>269</v>
      </c>
      <c r="F17">
        <v>7</v>
      </c>
      <c r="G17">
        <v>948.65662987123108</v>
      </c>
      <c r="H17">
        <v>2.25</v>
      </c>
      <c r="I17" s="3" t="str">
        <f>IF(OR(WEEKDAY(A17)=6,WEEKDAY(A17)=7,WEEKDAY(A17)=1),"Weekend","Weekday")</f>
        <v>Weekday</v>
      </c>
      <c r="J17" s="16">
        <v>26.7</v>
      </c>
      <c r="K17" s="2" t="s">
        <v>10</v>
      </c>
      <c r="L17" s="2" t="s">
        <v>11</v>
      </c>
      <c r="M17" s="2" t="s">
        <v>12</v>
      </c>
      <c r="N17" s="2" t="s">
        <v>37</v>
      </c>
      <c r="O17" s="2"/>
      <c r="P17" s="2" t="s">
        <v>29</v>
      </c>
    </row>
    <row r="18" spans="1:16" x14ac:dyDescent="0.25">
      <c r="A18" s="3">
        <v>43187</v>
      </c>
      <c r="B18" s="2" t="s">
        <v>54</v>
      </c>
      <c r="C18">
        <v>23.059000000000001</v>
      </c>
      <c r="D18" s="21">
        <v>0</v>
      </c>
      <c r="E18" t="s">
        <v>269</v>
      </c>
      <c r="F18">
        <v>7</v>
      </c>
      <c r="G18">
        <v>948.65662987123108</v>
      </c>
      <c r="H18">
        <v>2.25</v>
      </c>
      <c r="I18" s="3" t="str">
        <f>IF(OR(WEEKDAY(A18)=6,WEEKDAY(A18)=7,WEEKDAY(A18)=1),"Weekend","Weekday")</f>
        <v>Weekday</v>
      </c>
      <c r="J18" s="16">
        <v>26.7</v>
      </c>
      <c r="K18" s="2" t="s">
        <v>193</v>
      </c>
      <c r="L18" s="2" t="s">
        <v>11</v>
      </c>
      <c r="M18" s="2" t="s">
        <v>12</v>
      </c>
      <c r="N18" s="2" t="s">
        <v>37</v>
      </c>
      <c r="O18" s="2" t="s">
        <v>220</v>
      </c>
      <c r="P18" s="2" t="s">
        <v>29</v>
      </c>
    </row>
    <row r="19" spans="1:16" x14ac:dyDescent="0.25">
      <c r="A19" s="3">
        <v>44004</v>
      </c>
      <c r="B19" s="2" t="s">
        <v>54</v>
      </c>
      <c r="C19">
        <v>23.52</v>
      </c>
      <c r="D19" s="21">
        <v>0</v>
      </c>
      <c r="E19" t="s">
        <v>269</v>
      </c>
      <c r="F19">
        <v>8.3431099999999994</v>
      </c>
      <c r="G19">
        <v>866.9478148904094</v>
      </c>
      <c r="H19">
        <v>-3.53</v>
      </c>
      <c r="I19" s="3" t="str">
        <f>IF(OR(WEEKDAY(A19)=6,WEEKDAY(A19)=7,WEEKDAY(A19)=1),"Weekend","Weekday")</f>
        <v>Weekday</v>
      </c>
      <c r="J19" s="16">
        <v>26.8</v>
      </c>
      <c r="K19" s="2" t="s">
        <v>207</v>
      </c>
      <c r="L19" s="2" t="s">
        <v>43</v>
      </c>
      <c r="M19" s="2" t="s">
        <v>12</v>
      </c>
      <c r="N19" s="2" t="s">
        <v>49</v>
      </c>
      <c r="O19" s="2"/>
      <c r="P19" s="2" t="s">
        <v>29</v>
      </c>
    </row>
    <row r="20" spans="1:16" x14ac:dyDescent="0.25">
      <c r="A20" s="3">
        <v>45350</v>
      </c>
      <c r="B20" s="2" t="s">
        <v>54</v>
      </c>
      <c r="C20">
        <v>24.690999999999999</v>
      </c>
      <c r="D20" s="21">
        <v>0</v>
      </c>
      <c r="E20" t="s">
        <v>269</v>
      </c>
      <c r="F20">
        <v>22.5</v>
      </c>
      <c r="G20">
        <v>1016.0888066271244</v>
      </c>
      <c r="H20">
        <v>-1.35</v>
      </c>
      <c r="I20" s="3" t="str">
        <f>IF(OR(WEEKDAY(A20)=6,WEEKDAY(A20)=7,WEEKDAY(A20)=1),"Weekend","Weekday")</f>
        <v>Weekday</v>
      </c>
      <c r="J20" s="16">
        <v>27.8</v>
      </c>
      <c r="K20" s="2" t="s">
        <v>10</v>
      </c>
      <c r="L20" s="2" t="s">
        <v>11</v>
      </c>
      <c r="M20" s="2" t="s">
        <v>12</v>
      </c>
      <c r="N20" s="2" t="s">
        <v>62</v>
      </c>
      <c r="O20" s="2" t="s">
        <v>63</v>
      </c>
      <c r="P20" s="2" t="s">
        <v>29</v>
      </c>
    </row>
    <row r="21" spans="1:16" x14ac:dyDescent="0.25">
      <c r="A21" s="3">
        <v>44271</v>
      </c>
      <c r="B21" s="2" t="s">
        <v>38</v>
      </c>
      <c r="C21">
        <v>62.512</v>
      </c>
      <c r="D21" s="21">
        <v>0</v>
      </c>
      <c r="E21" t="s">
        <v>270</v>
      </c>
      <c r="F21">
        <v>90.232799999999997</v>
      </c>
      <c r="G21">
        <v>12887.435724294062</v>
      </c>
      <c r="H21">
        <v>8.4700000000000006</v>
      </c>
      <c r="I21" s="3" t="str">
        <f>IF(OR(WEEKDAY(A21)=6,WEEKDAY(A21)=7,WEEKDAY(A21)=1),"Weekend","Weekday")</f>
        <v>Weekday</v>
      </c>
      <c r="J21" s="16">
        <v>17.8</v>
      </c>
      <c r="K21" s="2" t="s">
        <v>39</v>
      </c>
      <c r="L21" s="2" t="s">
        <v>11</v>
      </c>
      <c r="M21" s="2" t="s">
        <v>12</v>
      </c>
      <c r="N21" s="2" t="s">
        <v>13</v>
      </c>
      <c r="O21" s="2" t="s">
        <v>202</v>
      </c>
      <c r="P21" s="2" t="s">
        <v>17</v>
      </c>
    </row>
    <row r="22" spans="1:16" x14ac:dyDescent="0.25">
      <c r="A22" s="3">
        <v>44533</v>
      </c>
      <c r="B22" s="2" t="s">
        <v>38</v>
      </c>
      <c r="C22">
        <v>62.512</v>
      </c>
      <c r="D22" s="21">
        <v>0</v>
      </c>
      <c r="E22" t="s">
        <v>270</v>
      </c>
      <c r="F22">
        <v>90.232799999999997</v>
      </c>
      <c r="G22">
        <v>12887.435724294062</v>
      </c>
      <c r="H22">
        <v>8.4700000000000006</v>
      </c>
      <c r="I22" s="3" t="str">
        <f>IF(OR(WEEKDAY(A22)=6,WEEKDAY(A22)=7,WEEKDAY(A22)=1),"Weekend","Weekday")</f>
        <v>Weekend</v>
      </c>
      <c r="J22" s="16">
        <v>17.8</v>
      </c>
      <c r="K22" s="2" t="s">
        <v>10</v>
      </c>
      <c r="L22" s="2" t="s">
        <v>11</v>
      </c>
      <c r="M22" s="2" t="s">
        <v>12</v>
      </c>
      <c r="N22" s="2" t="s">
        <v>13</v>
      </c>
      <c r="O22" s="2" t="s">
        <v>127</v>
      </c>
      <c r="P22" s="2" t="s">
        <v>17</v>
      </c>
    </row>
    <row r="23" spans="1:16" x14ac:dyDescent="0.25">
      <c r="A23" s="3">
        <v>45308</v>
      </c>
      <c r="B23" s="2" t="s">
        <v>55</v>
      </c>
      <c r="C23">
        <v>30.417999999999999</v>
      </c>
      <c r="D23" s="21">
        <v>2</v>
      </c>
      <c r="E23" t="s">
        <v>269</v>
      </c>
      <c r="F23">
        <v>37.799999999999997</v>
      </c>
      <c r="G23">
        <v>1784.1154686029281</v>
      </c>
      <c r="H23">
        <v>1.45</v>
      </c>
      <c r="I23" s="3" t="str">
        <f>IF(OR(WEEKDAY(A23)=6,WEEKDAY(A23)=7,WEEKDAY(A23)=1),"Weekend","Weekday")</f>
        <v>Weekday</v>
      </c>
      <c r="J23" s="16">
        <v>29.9</v>
      </c>
      <c r="K23" s="2" t="s">
        <v>10</v>
      </c>
      <c r="L23" s="2" t="s">
        <v>11</v>
      </c>
      <c r="M23" s="2" t="s">
        <v>12</v>
      </c>
      <c r="N23" s="2" t="s">
        <v>37</v>
      </c>
      <c r="O23" s="2" t="s">
        <v>56</v>
      </c>
      <c r="P23" s="2" t="s">
        <v>29</v>
      </c>
    </row>
    <row r="24" spans="1:16" x14ac:dyDescent="0.25">
      <c r="A24" s="3">
        <v>44275</v>
      </c>
      <c r="B24" s="2" t="s">
        <v>203</v>
      </c>
      <c r="C24">
        <v>68.283000000000001</v>
      </c>
      <c r="D24" s="21">
        <v>1</v>
      </c>
      <c r="E24" t="s">
        <v>269</v>
      </c>
      <c r="F24">
        <v>33.3461</v>
      </c>
      <c r="G24">
        <v>2516.1625514543157</v>
      </c>
      <c r="H24">
        <v>-1.37</v>
      </c>
      <c r="I24" s="3" t="str">
        <f>IF(OR(WEEKDAY(A24)=6,WEEKDAY(A24)=7,WEEKDAY(A24)=1),"Weekend","Weekday")</f>
        <v>Weekend</v>
      </c>
      <c r="J24" s="16">
        <v>26.4</v>
      </c>
      <c r="K24" s="2" t="s">
        <v>193</v>
      </c>
      <c r="L24" s="2" t="s">
        <v>11</v>
      </c>
      <c r="M24" s="2" t="s">
        <v>12</v>
      </c>
      <c r="N24" s="2" t="s">
        <v>31</v>
      </c>
      <c r="O24" s="2" t="s">
        <v>204</v>
      </c>
      <c r="P24" s="2" t="s">
        <v>29</v>
      </c>
    </row>
    <row r="25" spans="1:16" x14ac:dyDescent="0.25">
      <c r="A25" s="3">
        <v>42736</v>
      </c>
      <c r="B25" s="2" t="s">
        <v>223</v>
      </c>
      <c r="C25">
        <v>43.88</v>
      </c>
      <c r="D25" s="21">
        <v>2</v>
      </c>
      <c r="E25" t="s">
        <v>269</v>
      </c>
      <c r="F25">
        <v>8.6198999999999995</v>
      </c>
      <c r="G25">
        <v>436.58453468738486</v>
      </c>
      <c r="H25">
        <v>0</v>
      </c>
      <c r="I25" s="3" t="str">
        <f>IF(OR(WEEKDAY(A25)=6,WEEKDAY(A25)=7,WEEKDAY(A25)=1),"Weekend","Weekday")</f>
        <v>Weekend</v>
      </c>
      <c r="J25" s="16">
        <v>27</v>
      </c>
      <c r="K25" s="2" t="s">
        <v>10</v>
      </c>
      <c r="L25" s="2" t="s">
        <v>11</v>
      </c>
      <c r="M25" s="2" t="s">
        <v>12</v>
      </c>
      <c r="N25" s="2" t="s">
        <v>37</v>
      </c>
      <c r="O25" s="2" t="s">
        <v>247</v>
      </c>
      <c r="P25" s="2" t="s">
        <v>29</v>
      </c>
    </row>
    <row r="26" spans="1:16" x14ac:dyDescent="0.25">
      <c r="A26" s="3">
        <v>43156</v>
      </c>
      <c r="B26" s="2" t="s">
        <v>223</v>
      </c>
      <c r="C26">
        <v>44.46</v>
      </c>
      <c r="D26" s="21">
        <v>1</v>
      </c>
      <c r="E26" t="s">
        <v>269</v>
      </c>
      <c r="F26">
        <v>11.7</v>
      </c>
      <c r="G26">
        <v>528.25601977789847</v>
      </c>
      <c r="H26">
        <v>2.33</v>
      </c>
      <c r="I26" s="3" t="str">
        <f>IF(OR(WEEKDAY(A26)=6,WEEKDAY(A26)=7,WEEKDAY(A26)=1),"Weekend","Weekday")</f>
        <v>Weekend</v>
      </c>
      <c r="J26" s="16">
        <v>27.3</v>
      </c>
      <c r="K26" s="2" t="s">
        <v>10</v>
      </c>
      <c r="L26" s="2" t="s">
        <v>11</v>
      </c>
      <c r="M26" s="2" t="s">
        <v>12</v>
      </c>
      <c r="N26" s="2" t="s">
        <v>37</v>
      </c>
      <c r="O26" s="2"/>
      <c r="P26" s="2" t="s">
        <v>29</v>
      </c>
    </row>
    <row r="27" spans="1:16" x14ac:dyDescent="0.25">
      <c r="A27" s="3">
        <v>43465</v>
      </c>
      <c r="B27" s="2" t="s">
        <v>223</v>
      </c>
      <c r="C27">
        <v>44.46</v>
      </c>
      <c r="D27" s="21">
        <v>1</v>
      </c>
      <c r="E27" t="s">
        <v>269</v>
      </c>
      <c r="F27">
        <v>11.7</v>
      </c>
      <c r="G27">
        <v>528.25601977789847</v>
      </c>
      <c r="H27">
        <v>2.33</v>
      </c>
      <c r="I27" s="3" t="str">
        <f>IF(OR(WEEKDAY(A27)=6,WEEKDAY(A27)=7,WEEKDAY(A27)=1),"Weekend","Weekday")</f>
        <v>Weekday</v>
      </c>
      <c r="J27" s="18">
        <v>27.3</v>
      </c>
      <c r="K27" s="2" t="s">
        <v>193</v>
      </c>
      <c r="L27" s="2" t="s">
        <v>11</v>
      </c>
      <c r="M27" s="2" t="s">
        <v>12</v>
      </c>
      <c r="N27" s="2" t="s">
        <v>31</v>
      </c>
      <c r="O27" s="2" t="s">
        <v>224</v>
      </c>
      <c r="P27" s="2" t="s">
        <v>29</v>
      </c>
    </row>
    <row r="28" spans="1:16" x14ac:dyDescent="0.25">
      <c r="A28" s="3">
        <v>44162</v>
      </c>
      <c r="B28" s="2" t="s">
        <v>65</v>
      </c>
      <c r="C28">
        <v>77.194000000000003</v>
      </c>
      <c r="D28" s="21">
        <v>0</v>
      </c>
      <c r="E28" t="s">
        <v>270</v>
      </c>
      <c r="F28">
        <v>71.119100000000003</v>
      </c>
      <c r="G28">
        <v>9605.2612506726255</v>
      </c>
      <c r="H28">
        <v>-10.73</v>
      </c>
      <c r="I28" s="3" t="str">
        <f>IF(OR(WEEKDAY(A28)=6,WEEKDAY(A28)=7,WEEKDAY(A28)=1),"Weekend","Weekday")</f>
        <v>Weekend</v>
      </c>
      <c r="J28" s="15">
        <v>18.399999999999999</v>
      </c>
      <c r="K28" s="2" t="s">
        <v>207</v>
      </c>
      <c r="L28" s="2" t="s">
        <v>11</v>
      </c>
      <c r="M28" s="2" t="s">
        <v>12</v>
      </c>
      <c r="N28" s="2" t="s">
        <v>37</v>
      </c>
      <c r="O28" s="2"/>
      <c r="P28" s="2" t="s">
        <v>67</v>
      </c>
    </row>
    <row r="29" spans="1:16" x14ac:dyDescent="0.25">
      <c r="A29" s="3">
        <v>44834</v>
      </c>
      <c r="B29" s="2" t="s">
        <v>65</v>
      </c>
      <c r="C29">
        <v>77.400999999999996</v>
      </c>
      <c r="D29" s="21">
        <v>0</v>
      </c>
      <c r="E29" t="s">
        <v>270</v>
      </c>
      <c r="F29">
        <v>68.25</v>
      </c>
      <c r="G29">
        <v>7433</v>
      </c>
      <c r="H29">
        <v>2.35</v>
      </c>
      <c r="I29" s="3" t="str">
        <f>IF(OR(WEEKDAY(A29)=6,WEEKDAY(A29)=7,WEEKDAY(A29)=1),"Weekend","Weekday")</f>
        <v>Weekend</v>
      </c>
      <c r="J29" s="15">
        <v>17.100000000000001</v>
      </c>
      <c r="K29" s="2" t="s">
        <v>10</v>
      </c>
      <c r="L29" s="2" t="s">
        <v>11</v>
      </c>
      <c r="M29" s="2" t="s">
        <v>12</v>
      </c>
      <c r="N29" s="2" t="s">
        <v>37</v>
      </c>
      <c r="O29" s="2" t="s">
        <v>184</v>
      </c>
      <c r="P29" s="2" t="s">
        <v>67</v>
      </c>
    </row>
    <row r="30" spans="1:16" x14ac:dyDescent="0.25">
      <c r="A30" s="3">
        <v>45052</v>
      </c>
      <c r="B30" s="2" t="s">
        <v>65</v>
      </c>
      <c r="C30">
        <v>77.522999999999996</v>
      </c>
      <c r="D30" s="21">
        <v>0</v>
      </c>
      <c r="E30" t="s">
        <v>270</v>
      </c>
      <c r="F30">
        <v>71.275000000000006</v>
      </c>
      <c r="G30">
        <v>7433.33</v>
      </c>
      <c r="H30">
        <v>-1.58</v>
      </c>
      <c r="I30" s="3" t="str">
        <f>IF(OR(WEEKDAY(A30)=6,WEEKDAY(A30)=7,WEEKDAY(A30)=1),"Weekend","Weekday")</f>
        <v>Weekend</v>
      </c>
      <c r="J30" s="15">
        <v>16.3</v>
      </c>
      <c r="K30" s="2" t="s">
        <v>10</v>
      </c>
      <c r="L30" s="2" t="s">
        <v>11</v>
      </c>
      <c r="M30" s="2" t="s">
        <v>12</v>
      </c>
      <c r="N30" s="2" t="s">
        <v>37</v>
      </c>
      <c r="O30" s="2" t="s">
        <v>139</v>
      </c>
      <c r="P30" s="2" t="s">
        <v>67</v>
      </c>
    </row>
    <row r="31" spans="1:16" x14ac:dyDescent="0.25">
      <c r="A31" s="3">
        <v>45368</v>
      </c>
      <c r="B31" s="2" t="s">
        <v>65</v>
      </c>
      <c r="C31">
        <v>77.656999999999996</v>
      </c>
      <c r="D31" s="21">
        <v>1</v>
      </c>
      <c r="E31" t="s">
        <v>270</v>
      </c>
      <c r="F31">
        <v>73</v>
      </c>
      <c r="G31">
        <v>9605</v>
      </c>
      <c r="H31">
        <v>1.1000000000000001</v>
      </c>
      <c r="I31" s="3" t="str">
        <f>IF(OR(WEEKDAY(A31)=6,WEEKDAY(A31)=7,WEEKDAY(A31)=1),"Weekend","Weekday")</f>
        <v>Weekend</v>
      </c>
      <c r="J31" s="15">
        <v>16.100000000000001</v>
      </c>
      <c r="K31" s="2" t="s">
        <v>10</v>
      </c>
      <c r="L31" s="2" t="s">
        <v>11</v>
      </c>
      <c r="M31" s="2" t="s">
        <v>12</v>
      </c>
      <c r="N31" s="2" t="s">
        <v>37</v>
      </c>
      <c r="O31" s="2" t="s">
        <v>66</v>
      </c>
      <c r="P31" s="2" t="s">
        <v>67</v>
      </c>
    </row>
    <row r="32" spans="1:16" x14ac:dyDescent="0.25">
      <c r="A32" s="3">
        <v>43745</v>
      </c>
      <c r="B32" s="2" t="s">
        <v>216</v>
      </c>
      <c r="C32">
        <v>63.985999999999997</v>
      </c>
      <c r="D32" s="21">
        <v>11</v>
      </c>
      <c r="E32" t="s">
        <v>271</v>
      </c>
      <c r="F32">
        <v>59.2</v>
      </c>
      <c r="G32">
        <v>6205.0576524676644</v>
      </c>
      <c r="H32">
        <v>-1.51</v>
      </c>
      <c r="I32" s="3" t="str">
        <f>IF(OR(WEEKDAY(A32)=6,WEEKDAY(A32)=7,WEEKDAY(A32)=1),"Weekend","Weekday")</f>
        <v>Weekday</v>
      </c>
      <c r="J32" s="18">
        <v>26</v>
      </c>
      <c r="K32" s="2" t="s">
        <v>193</v>
      </c>
      <c r="L32" s="2" t="s">
        <v>33</v>
      </c>
      <c r="M32" s="2" t="s">
        <v>12</v>
      </c>
      <c r="N32" s="2" t="s">
        <v>37</v>
      </c>
      <c r="O32" s="2"/>
      <c r="P32" s="2" t="s">
        <v>67</v>
      </c>
    </row>
    <row r="33" spans="1:16" x14ac:dyDescent="0.25">
      <c r="A33" s="3">
        <v>43750</v>
      </c>
      <c r="B33" s="2" t="s">
        <v>216</v>
      </c>
      <c r="C33">
        <v>63.985999999999997</v>
      </c>
      <c r="D33" s="21">
        <v>7</v>
      </c>
      <c r="E33" t="s">
        <v>271</v>
      </c>
      <c r="F33">
        <v>59.2</v>
      </c>
      <c r="G33">
        <v>6205.0576524676644</v>
      </c>
      <c r="H33">
        <v>-1.51</v>
      </c>
      <c r="I33" s="3" t="str">
        <f>IF(OR(WEEKDAY(A33)=6,WEEKDAY(A33)=7,WEEKDAY(A33)=1),"Weekend","Weekday")</f>
        <v>Weekend</v>
      </c>
      <c r="J33" s="18">
        <v>26</v>
      </c>
      <c r="K33" s="2" t="s">
        <v>193</v>
      </c>
      <c r="L33" s="2" t="s">
        <v>11</v>
      </c>
      <c r="M33" s="2" t="s">
        <v>12</v>
      </c>
      <c r="N33" s="2" t="s">
        <v>37</v>
      </c>
      <c r="O33" s="2"/>
      <c r="P33" s="2" t="s">
        <v>67</v>
      </c>
    </row>
    <row r="34" spans="1:16" x14ac:dyDescent="0.25">
      <c r="A34" s="3">
        <v>43730</v>
      </c>
      <c r="B34" s="2" t="s">
        <v>219</v>
      </c>
      <c r="C34">
        <v>42.73</v>
      </c>
      <c r="D34" s="21">
        <v>4</v>
      </c>
      <c r="E34" t="s">
        <v>269</v>
      </c>
      <c r="F34">
        <v>57.282899999999998</v>
      </c>
      <c r="G34">
        <v>2962.9889202300265</v>
      </c>
      <c r="H34">
        <v>3.72</v>
      </c>
      <c r="I34" s="3" t="str">
        <f>IF(OR(WEEKDAY(A34)=6,WEEKDAY(A34)=7,WEEKDAY(A34)=1),"Weekend","Weekday")</f>
        <v>Weekend</v>
      </c>
      <c r="J34" s="18">
        <v>24.8</v>
      </c>
      <c r="K34" s="2" t="s">
        <v>193</v>
      </c>
      <c r="L34" s="2" t="s">
        <v>11</v>
      </c>
      <c r="M34" s="2" t="s">
        <v>12</v>
      </c>
      <c r="N34" s="2" t="s">
        <v>37</v>
      </c>
      <c r="O34" s="2"/>
      <c r="P34" s="2" t="s">
        <v>15</v>
      </c>
    </row>
    <row r="35" spans="1:16" x14ac:dyDescent="0.25">
      <c r="A35" s="3">
        <v>43035</v>
      </c>
      <c r="B35" s="2" t="s">
        <v>90</v>
      </c>
      <c r="C35">
        <v>71.646000000000001</v>
      </c>
      <c r="D35" s="21">
        <v>3</v>
      </c>
      <c r="E35" t="s">
        <v>269</v>
      </c>
      <c r="F35">
        <v>26.24</v>
      </c>
      <c r="G35">
        <v>7809.1046565548822</v>
      </c>
      <c r="H35">
        <v>-8.94</v>
      </c>
      <c r="I35" s="3" t="str">
        <f>IF(OR(WEEKDAY(A35)=6,WEEKDAY(A35)=7,WEEKDAY(A35)=1),"Weekend","Weekday")</f>
        <v>Weekend</v>
      </c>
      <c r="J35" s="18">
        <v>25.9</v>
      </c>
      <c r="K35" s="2" t="s">
        <v>200</v>
      </c>
      <c r="L35" s="2" t="s">
        <v>11</v>
      </c>
      <c r="M35" s="2" t="s">
        <v>12</v>
      </c>
      <c r="N35" s="2" t="s">
        <v>31</v>
      </c>
      <c r="O35" s="2"/>
      <c r="P35" s="2" t="s">
        <v>29</v>
      </c>
    </row>
    <row r="36" spans="1:16" x14ac:dyDescent="0.25">
      <c r="A36" s="3">
        <v>42520</v>
      </c>
      <c r="B36" s="2" t="s">
        <v>28</v>
      </c>
      <c r="C36">
        <v>19.866</v>
      </c>
      <c r="D36" s="21">
        <v>4</v>
      </c>
      <c r="E36" t="s">
        <v>269</v>
      </c>
      <c r="F36">
        <v>15.366899999999999</v>
      </c>
      <c r="G36">
        <v>696.19608480632382</v>
      </c>
      <c r="H36">
        <v>6.51</v>
      </c>
      <c r="I36" s="3" t="str">
        <f>IF(OR(WEEKDAY(A36)=6,WEEKDAY(A36)=7,WEEKDAY(A36)=1),"Weekend","Weekday")</f>
        <v>Weekday</v>
      </c>
      <c r="J36" s="18">
        <v>27.5</v>
      </c>
      <c r="K36" s="2" t="s">
        <v>10</v>
      </c>
      <c r="L36" s="2" t="s">
        <v>11</v>
      </c>
      <c r="M36" s="2" t="s">
        <v>12</v>
      </c>
      <c r="N36" s="2" t="s">
        <v>37</v>
      </c>
      <c r="O36" s="2" t="s">
        <v>260</v>
      </c>
      <c r="P36" s="2" t="s">
        <v>29</v>
      </c>
    </row>
    <row r="37" spans="1:16" x14ac:dyDescent="0.25">
      <c r="A37" s="3">
        <v>42885</v>
      </c>
      <c r="B37" s="2" t="s">
        <v>28</v>
      </c>
      <c r="C37">
        <v>20.309999999999999</v>
      </c>
      <c r="D37" s="21">
        <v>0</v>
      </c>
      <c r="E37" t="s">
        <v>269</v>
      </c>
      <c r="F37">
        <v>15.6</v>
      </c>
      <c r="G37">
        <v>745.63243392534309</v>
      </c>
      <c r="H37">
        <v>6.62</v>
      </c>
      <c r="I37" s="3" t="str">
        <f>IF(OR(WEEKDAY(A37)=6,WEEKDAY(A37)=7,WEEKDAY(A37)=1),"Weekend","Weekday")</f>
        <v>Weekday</v>
      </c>
      <c r="J37" s="18">
        <v>27.5</v>
      </c>
      <c r="K37" s="2" t="s">
        <v>10</v>
      </c>
      <c r="L37" s="2" t="s">
        <v>11</v>
      </c>
      <c r="M37" s="2" t="s">
        <v>12</v>
      </c>
      <c r="N37" s="2" t="s">
        <v>37</v>
      </c>
      <c r="O37" s="2" t="s">
        <v>252</v>
      </c>
      <c r="P37" s="2" t="s">
        <v>29</v>
      </c>
    </row>
    <row r="38" spans="1:16" x14ac:dyDescent="0.25">
      <c r="A38" s="3">
        <v>43626</v>
      </c>
      <c r="B38" s="2" t="s">
        <v>28</v>
      </c>
      <c r="C38">
        <v>21.225000000000001</v>
      </c>
      <c r="D38" s="21">
        <v>4</v>
      </c>
      <c r="E38" t="s">
        <v>269</v>
      </c>
      <c r="F38">
        <v>16</v>
      </c>
      <c r="G38">
        <v>828.70908052292111</v>
      </c>
      <c r="H38">
        <v>5.49</v>
      </c>
      <c r="I38" s="3" t="str">
        <f>IF(OR(WEEKDAY(A38)=6,WEEKDAY(A38)=7,WEEKDAY(A38)=1),"Weekend","Weekday")</f>
        <v>Weekday</v>
      </c>
      <c r="J38" s="18">
        <v>27.4</v>
      </c>
      <c r="K38" s="2" t="s">
        <v>193</v>
      </c>
      <c r="L38" s="2" t="s">
        <v>11</v>
      </c>
      <c r="M38" s="2" t="s">
        <v>12</v>
      </c>
      <c r="N38" s="2" t="s">
        <v>62</v>
      </c>
      <c r="O38" s="2" t="s">
        <v>241</v>
      </c>
      <c r="P38" s="2" t="s">
        <v>29</v>
      </c>
    </row>
    <row r="39" spans="1:16" x14ac:dyDescent="0.25">
      <c r="A39" s="3">
        <v>43638</v>
      </c>
      <c r="B39" s="2" t="s">
        <v>28</v>
      </c>
      <c r="C39">
        <v>21.225000000000001</v>
      </c>
      <c r="D39" s="21">
        <v>2</v>
      </c>
      <c r="E39" t="s">
        <v>269</v>
      </c>
      <c r="F39">
        <v>16</v>
      </c>
      <c r="G39">
        <v>828.70908052292111</v>
      </c>
      <c r="H39">
        <v>5.49</v>
      </c>
      <c r="I39" s="3" t="str">
        <f>IF(OR(WEEKDAY(A39)=6,WEEKDAY(A39)=7,WEEKDAY(A39)=1),"Weekend","Weekday")</f>
        <v>Weekend</v>
      </c>
      <c r="J39" s="18">
        <v>27.4</v>
      </c>
      <c r="K39" s="2" t="s">
        <v>193</v>
      </c>
      <c r="L39" s="2" t="s">
        <v>11</v>
      </c>
      <c r="M39" s="2" t="s">
        <v>12</v>
      </c>
      <c r="N39" s="2" t="s">
        <v>62</v>
      </c>
      <c r="O39" s="2" t="s">
        <v>244</v>
      </c>
      <c r="P39" s="2" t="s">
        <v>29</v>
      </c>
    </row>
    <row r="40" spans="1:16" x14ac:dyDescent="0.25">
      <c r="A40" s="3">
        <v>44966</v>
      </c>
      <c r="B40" s="2" t="s">
        <v>28</v>
      </c>
      <c r="C40">
        <v>23.157</v>
      </c>
      <c r="D40" s="21">
        <v>1</v>
      </c>
      <c r="E40" t="s">
        <v>269</v>
      </c>
      <c r="F40">
        <v>19.399999999999999</v>
      </c>
      <c r="G40">
        <v>916</v>
      </c>
      <c r="H40">
        <v>3.85</v>
      </c>
      <c r="I40" s="3" t="str">
        <f>IF(OR(WEEKDAY(A40)=6,WEEKDAY(A40)=7,WEEKDAY(A40)=1),"Weekend","Weekday")</f>
        <v>Weekday</v>
      </c>
      <c r="J40" s="18">
        <v>27.6</v>
      </c>
      <c r="K40" s="2" t="s">
        <v>10</v>
      </c>
      <c r="L40" s="2" t="s">
        <v>11</v>
      </c>
      <c r="M40" s="2" t="s">
        <v>12</v>
      </c>
      <c r="N40" s="2" t="s">
        <v>37</v>
      </c>
      <c r="O40" s="2" t="s">
        <v>131</v>
      </c>
      <c r="P40" s="2" t="s">
        <v>29</v>
      </c>
    </row>
    <row r="41" spans="1:16" x14ac:dyDescent="0.25">
      <c r="A41" s="3">
        <v>43472</v>
      </c>
      <c r="B41" s="2" t="s">
        <v>152</v>
      </c>
      <c r="C41">
        <v>89.741</v>
      </c>
      <c r="D41" s="21">
        <v>3</v>
      </c>
      <c r="E41" t="s">
        <v>269</v>
      </c>
      <c r="F41">
        <v>59.517600000000002</v>
      </c>
      <c r="G41">
        <v>7441.1786472280974</v>
      </c>
      <c r="H41">
        <v>1.38</v>
      </c>
      <c r="I41" s="3" t="str">
        <f>IF(OR(WEEKDAY(A41)=6,WEEKDAY(A41)=7,WEEKDAY(A41)=1),"Weekend","Weekday")</f>
        <v>Weekday</v>
      </c>
      <c r="J41" s="18">
        <v>31.1</v>
      </c>
      <c r="K41" s="2" t="s">
        <v>193</v>
      </c>
      <c r="L41" s="2" t="s">
        <v>11</v>
      </c>
      <c r="M41" s="2" t="s">
        <v>12</v>
      </c>
      <c r="N41" s="2" t="s">
        <v>62</v>
      </c>
      <c r="O41" s="2" t="s">
        <v>225</v>
      </c>
      <c r="P41" s="2" t="s">
        <v>29</v>
      </c>
    </row>
    <row r="42" spans="1:16" x14ac:dyDescent="0.25">
      <c r="A42" s="3">
        <v>45164</v>
      </c>
      <c r="B42" s="2" t="s">
        <v>152</v>
      </c>
      <c r="C42">
        <v>91.028999999999996</v>
      </c>
      <c r="D42" s="21">
        <v>0</v>
      </c>
      <c r="E42" t="s">
        <v>269</v>
      </c>
      <c r="F42">
        <v>71.925600000000003</v>
      </c>
      <c r="G42">
        <v>8409.2074145227871</v>
      </c>
      <c r="H42">
        <v>0.22</v>
      </c>
      <c r="I42" s="3" t="str">
        <f>IF(OR(WEEKDAY(A42)=6,WEEKDAY(A42)=7,WEEKDAY(A42)=1),"Weekend","Weekday")</f>
        <v>Weekend</v>
      </c>
      <c r="J42" s="18">
        <v>30.9</v>
      </c>
      <c r="K42" s="2" t="s">
        <v>10</v>
      </c>
      <c r="L42" s="2" t="s">
        <v>11</v>
      </c>
      <c r="M42" s="2" t="s">
        <v>12</v>
      </c>
      <c r="N42" s="2" t="s">
        <v>31</v>
      </c>
      <c r="O42" s="2" t="s">
        <v>153</v>
      </c>
      <c r="P42" s="2" t="s">
        <v>29</v>
      </c>
    </row>
    <row r="43" spans="1:16" x14ac:dyDescent="0.25">
      <c r="A43" s="8">
        <v>42704</v>
      </c>
      <c r="B43" s="2" t="s">
        <v>266</v>
      </c>
      <c r="C43">
        <v>59.917999999999999</v>
      </c>
      <c r="D43" s="22">
        <v>6</v>
      </c>
      <c r="E43" t="s">
        <v>269</v>
      </c>
      <c r="F43">
        <v>19.899999999999999</v>
      </c>
      <c r="G43">
        <v>650.05650132361131</v>
      </c>
      <c r="H43">
        <v>-0.7</v>
      </c>
      <c r="I43" s="3" t="str">
        <f>IF(OR(WEEKDAY(A43)=6,WEEKDAY(A43)=7,WEEKDAY(A43)=1),"Weekend","Weekday")</f>
        <v>Weekday</v>
      </c>
      <c r="J43" s="16">
        <v>28.2</v>
      </c>
      <c r="K43" s="2" t="s">
        <v>200</v>
      </c>
      <c r="L43" s="2" t="s">
        <v>11</v>
      </c>
      <c r="M43" s="2" t="s">
        <v>12</v>
      </c>
      <c r="N43" s="2" t="s">
        <v>31</v>
      </c>
      <c r="O43" s="2" t="s">
        <v>267</v>
      </c>
      <c r="P43" s="2" t="s">
        <v>29</v>
      </c>
    </row>
    <row r="44" spans="1:16" x14ac:dyDescent="0.25">
      <c r="A44" s="3">
        <v>45063</v>
      </c>
      <c r="B44" s="2" t="s">
        <v>47</v>
      </c>
      <c r="C44">
        <v>38.085000000000001</v>
      </c>
      <c r="D44" s="21">
        <v>0</v>
      </c>
      <c r="E44" t="s">
        <v>270</v>
      </c>
      <c r="F44">
        <v>26.5014</v>
      </c>
      <c r="G44">
        <v>1555.4937580686064</v>
      </c>
      <c r="H44">
        <v>2.98</v>
      </c>
      <c r="I44" s="3" t="str">
        <f>IF(OR(WEEKDAY(A44)=6,WEEKDAY(A44)=7,WEEKDAY(A44)=1),"Weekend","Weekday")</f>
        <v>Weekday</v>
      </c>
      <c r="J44" s="18">
        <v>26.8</v>
      </c>
      <c r="K44" s="2" t="s">
        <v>10</v>
      </c>
      <c r="L44" s="2" t="s">
        <v>11</v>
      </c>
      <c r="M44" s="2" t="s">
        <v>12</v>
      </c>
      <c r="N44" s="2" t="s">
        <v>37</v>
      </c>
      <c r="O44" s="2" t="s">
        <v>142</v>
      </c>
      <c r="P44" s="2" t="s">
        <v>29</v>
      </c>
    </row>
    <row r="45" spans="1:16" x14ac:dyDescent="0.25">
      <c r="A45" s="3">
        <v>45254</v>
      </c>
      <c r="B45" s="2" t="s">
        <v>47</v>
      </c>
      <c r="C45">
        <v>38.085000000000001</v>
      </c>
      <c r="D45" s="21">
        <v>1</v>
      </c>
      <c r="E45" t="s">
        <v>270</v>
      </c>
      <c r="F45">
        <v>26.5014</v>
      </c>
      <c r="G45">
        <v>1555.4937580686064</v>
      </c>
      <c r="H45">
        <v>2.98</v>
      </c>
      <c r="I45" s="3" t="str">
        <f>IF(OR(WEEKDAY(A45)=6,WEEKDAY(A45)=7,WEEKDAY(A45)=1),"Weekend","Weekday")</f>
        <v>Weekend</v>
      </c>
      <c r="J45" s="18">
        <v>26.8</v>
      </c>
      <c r="K45" s="2" t="s">
        <v>10</v>
      </c>
      <c r="L45" s="2" t="s">
        <v>11</v>
      </c>
      <c r="M45" s="2" t="s">
        <v>12</v>
      </c>
      <c r="N45" s="2" t="s">
        <v>13</v>
      </c>
      <c r="O45" s="2" t="s">
        <v>48</v>
      </c>
      <c r="P45" s="2" t="s">
        <v>29</v>
      </c>
    </row>
    <row r="46" spans="1:16" x14ac:dyDescent="0.25">
      <c r="A46" s="3">
        <v>44011</v>
      </c>
      <c r="B46" s="2" t="s">
        <v>25</v>
      </c>
      <c r="C46">
        <v>34.926000000000002</v>
      </c>
      <c r="D46" s="21">
        <v>11</v>
      </c>
      <c r="E46" t="s">
        <v>269</v>
      </c>
      <c r="F46">
        <v>43.4054</v>
      </c>
      <c r="G46">
        <v>1907.042516376687</v>
      </c>
      <c r="H46">
        <v>-6.69</v>
      </c>
      <c r="I46" s="3" t="str">
        <f>IF(OR(WEEKDAY(A46)=6,WEEKDAY(A46)=7,WEEKDAY(A46)=1),"Weekend","Weekday")</f>
        <v>Weekday</v>
      </c>
      <c r="J46" s="18">
        <v>26.6</v>
      </c>
      <c r="K46" s="2" t="s">
        <v>10</v>
      </c>
      <c r="L46" s="2" t="s">
        <v>11</v>
      </c>
      <c r="M46" s="2" t="s">
        <v>12</v>
      </c>
      <c r="N46" s="2" t="s">
        <v>26</v>
      </c>
      <c r="O46" s="2" t="s">
        <v>27</v>
      </c>
      <c r="P46" s="2" t="s">
        <v>17</v>
      </c>
    </row>
    <row r="47" spans="1:16" x14ac:dyDescent="0.25">
      <c r="A47" s="3">
        <v>45047</v>
      </c>
      <c r="B47" s="2" t="s">
        <v>25</v>
      </c>
      <c r="C47">
        <v>36.363999999999997</v>
      </c>
      <c r="D47" s="21">
        <v>21</v>
      </c>
      <c r="E47" t="s">
        <v>269</v>
      </c>
      <c r="F47">
        <v>55</v>
      </c>
      <c r="G47">
        <v>2530.1203127820381</v>
      </c>
      <c r="H47">
        <v>8.23</v>
      </c>
      <c r="I47" s="3" t="str">
        <f>IF(OR(WEEKDAY(A47)=6,WEEKDAY(A47)=7,WEEKDAY(A47)=1),"Weekend","Weekday")</f>
        <v>Weekday</v>
      </c>
      <c r="J47" s="18">
        <v>26.1</v>
      </c>
      <c r="K47" s="2" t="s">
        <v>10</v>
      </c>
      <c r="L47" s="2" t="s">
        <v>11</v>
      </c>
      <c r="M47" s="2" t="s">
        <v>12</v>
      </c>
      <c r="N47" s="2" t="s">
        <v>13</v>
      </c>
      <c r="O47" s="2" t="s">
        <v>138</v>
      </c>
      <c r="P47" s="2" t="s">
        <v>17</v>
      </c>
    </row>
    <row r="48" spans="1:16" x14ac:dyDescent="0.25">
      <c r="A48" s="3">
        <v>42628</v>
      </c>
      <c r="B48" s="2" t="s">
        <v>16</v>
      </c>
      <c r="C48">
        <v>53.988999999999997</v>
      </c>
      <c r="D48" s="21">
        <v>6</v>
      </c>
      <c r="E48" t="s">
        <v>271</v>
      </c>
      <c r="F48">
        <v>25.447399999999998</v>
      </c>
      <c r="G48">
        <v>3521.469434575738</v>
      </c>
      <c r="H48">
        <v>3.91</v>
      </c>
      <c r="I48" s="3" t="str">
        <f>IF(OR(WEEKDAY(A48)=6,WEEKDAY(A48)=7,WEEKDAY(A48)=1),"Weekend","Weekday")</f>
        <v>Weekday</v>
      </c>
      <c r="J48" s="18">
        <v>24.1</v>
      </c>
      <c r="K48" s="2" t="s">
        <v>10</v>
      </c>
      <c r="L48" s="2" t="s">
        <v>11</v>
      </c>
      <c r="M48" s="2" t="s">
        <v>12</v>
      </c>
      <c r="N48" s="2" t="s">
        <v>13</v>
      </c>
      <c r="O48" s="2" t="s">
        <v>119</v>
      </c>
      <c r="P48" s="2" t="s">
        <v>17</v>
      </c>
    </row>
    <row r="49" spans="1:16" x14ac:dyDescent="0.25">
      <c r="A49" s="3">
        <v>43217</v>
      </c>
      <c r="B49" s="2" t="s">
        <v>16</v>
      </c>
      <c r="C49">
        <v>55.325000000000003</v>
      </c>
      <c r="D49" s="21">
        <v>4</v>
      </c>
      <c r="E49" t="s">
        <v>271</v>
      </c>
      <c r="F49">
        <v>39.904600000000002</v>
      </c>
      <c r="G49">
        <v>3860.9535309072558</v>
      </c>
      <c r="H49">
        <v>4.12</v>
      </c>
      <c r="I49" s="3" t="str">
        <f>IF(OR(WEEKDAY(A49)=6,WEEKDAY(A49)=7,WEEKDAY(A49)=1),"Weekend","Weekday")</f>
        <v>Weekend</v>
      </c>
      <c r="J49" s="18">
        <v>24</v>
      </c>
      <c r="K49" s="2" t="s">
        <v>10</v>
      </c>
      <c r="L49" s="2" t="s">
        <v>11</v>
      </c>
      <c r="M49" s="2" t="s">
        <v>12</v>
      </c>
      <c r="N49" s="2" t="s">
        <v>13</v>
      </c>
      <c r="O49" s="2"/>
      <c r="P49" s="2" t="s">
        <v>17</v>
      </c>
    </row>
    <row r="50" spans="1:16" x14ac:dyDescent="0.25">
      <c r="A50" s="3">
        <v>43607</v>
      </c>
      <c r="B50" s="2" t="s">
        <v>16</v>
      </c>
      <c r="C50">
        <v>55.984999999999999</v>
      </c>
      <c r="D50" s="21">
        <v>34</v>
      </c>
      <c r="E50" t="s">
        <v>271</v>
      </c>
      <c r="F50">
        <v>47.690600000000003</v>
      </c>
      <c r="G50">
        <v>4106.9485616035772</v>
      </c>
      <c r="H50">
        <v>4.04</v>
      </c>
      <c r="I50" s="3" t="str">
        <f>IF(OR(WEEKDAY(A50)=6,WEEKDAY(A50)=7,WEEKDAY(A50)=1),"Weekend","Weekday")</f>
        <v>Weekday</v>
      </c>
      <c r="J50" s="18">
        <v>24</v>
      </c>
      <c r="K50" s="2" t="s">
        <v>193</v>
      </c>
      <c r="L50" s="2" t="s">
        <v>11</v>
      </c>
      <c r="M50" s="2" t="s">
        <v>12</v>
      </c>
      <c r="N50" s="2" t="s">
        <v>31</v>
      </c>
      <c r="O50" s="2" t="s">
        <v>237</v>
      </c>
      <c r="P50" s="2" t="s">
        <v>17</v>
      </c>
    </row>
    <row r="51" spans="1:16" x14ac:dyDescent="0.25">
      <c r="A51" s="3">
        <v>42853</v>
      </c>
      <c r="B51" s="2" t="s">
        <v>21</v>
      </c>
      <c r="C51">
        <v>74.394000000000005</v>
      </c>
      <c r="D51" s="21">
        <v>3</v>
      </c>
      <c r="E51" t="s">
        <v>269</v>
      </c>
      <c r="F51">
        <v>64.043999999999997</v>
      </c>
      <c r="G51">
        <v>5753.1154465939917</v>
      </c>
      <c r="H51">
        <v>1.29</v>
      </c>
      <c r="I51" s="3" t="str">
        <f>IF(OR(WEEKDAY(A51)=6,WEEKDAY(A51)=7,WEEKDAY(A51)=1),"Weekend","Weekday")</f>
        <v>Weekend</v>
      </c>
      <c r="J51" s="18">
        <v>25.2</v>
      </c>
      <c r="K51" s="2" t="s">
        <v>10</v>
      </c>
      <c r="L51" s="2" t="s">
        <v>11</v>
      </c>
      <c r="M51" s="2" t="s">
        <v>99</v>
      </c>
      <c r="N51" s="2" t="s">
        <v>31</v>
      </c>
      <c r="O51" s="2" t="s">
        <v>250</v>
      </c>
      <c r="P51" s="2" t="s">
        <v>15</v>
      </c>
    </row>
    <row r="52" spans="1:16" x14ac:dyDescent="0.25">
      <c r="A52" s="3">
        <v>43785</v>
      </c>
      <c r="B52" s="2" t="s">
        <v>21</v>
      </c>
      <c r="C52">
        <v>75.391000000000005</v>
      </c>
      <c r="D52" s="21">
        <v>0</v>
      </c>
      <c r="E52" t="s">
        <v>269</v>
      </c>
      <c r="F52">
        <v>72.450900000000004</v>
      </c>
      <c r="G52">
        <v>3831.2789476333733</v>
      </c>
      <c r="H52">
        <v>-4.1100000000000003</v>
      </c>
      <c r="I52" s="3" t="str">
        <f>IF(OR(WEEKDAY(A52)=6,WEEKDAY(A52)=7,WEEKDAY(A52)=1),"Weekend","Weekday")</f>
        <v>Weekend</v>
      </c>
      <c r="J52" s="18">
        <v>23.2</v>
      </c>
      <c r="K52" s="2" t="s">
        <v>245</v>
      </c>
      <c r="L52" s="2" t="s">
        <v>11</v>
      </c>
      <c r="M52" s="2" t="s">
        <v>12</v>
      </c>
      <c r="N52" s="2" t="s">
        <v>37</v>
      </c>
      <c r="O52" s="2"/>
      <c r="P52" s="2" t="s">
        <v>15</v>
      </c>
    </row>
    <row r="53" spans="1:16" x14ac:dyDescent="0.25">
      <c r="A53" s="3">
        <v>43216</v>
      </c>
      <c r="B53" s="2" t="s">
        <v>75</v>
      </c>
      <c r="C53">
        <v>70.472999999999999</v>
      </c>
      <c r="D53" s="21">
        <v>2</v>
      </c>
      <c r="E53" t="s">
        <v>269</v>
      </c>
      <c r="F53">
        <v>33.9</v>
      </c>
      <c r="G53">
        <v>5646.6893207474159</v>
      </c>
      <c r="H53">
        <v>0.27</v>
      </c>
      <c r="I53" s="3" t="str">
        <f>IF(OR(WEEKDAY(A53)=6,WEEKDAY(A53)=7,WEEKDAY(A53)=1),"Weekend","Weekday")</f>
        <v>Weekday</v>
      </c>
      <c r="J53" s="18">
        <v>27.5</v>
      </c>
      <c r="K53" s="2" t="s">
        <v>10</v>
      </c>
      <c r="L53" s="2" t="s">
        <v>11</v>
      </c>
      <c r="M53" s="2" t="s">
        <v>12</v>
      </c>
      <c r="N53" s="2" t="s">
        <v>13</v>
      </c>
      <c r="O53" s="2"/>
      <c r="P53" s="2" t="s">
        <v>15</v>
      </c>
    </row>
    <row r="54" spans="1:16" x14ac:dyDescent="0.25">
      <c r="A54" s="3">
        <v>43293</v>
      </c>
      <c r="B54" s="2" t="s">
        <v>75</v>
      </c>
      <c r="C54">
        <v>70.472999999999999</v>
      </c>
      <c r="D54" s="21">
        <v>8</v>
      </c>
      <c r="E54" t="s">
        <v>269</v>
      </c>
      <c r="F54">
        <v>33.9</v>
      </c>
      <c r="G54">
        <v>5646.6893207474159</v>
      </c>
      <c r="H54">
        <v>0.27</v>
      </c>
      <c r="I54" s="3" t="str">
        <f>IF(OR(WEEKDAY(A54)=6,WEEKDAY(A54)=7,WEEKDAY(A54)=1),"Weekend","Weekday")</f>
        <v>Weekday</v>
      </c>
      <c r="J54" s="18">
        <v>27.5</v>
      </c>
      <c r="K54" s="2" t="s">
        <v>10</v>
      </c>
      <c r="L54" s="2" t="s">
        <v>11</v>
      </c>
      <c r="M54" s="2" t="s">
        <v>12</v>
      </c>
      <c r="N54" s="2" t="s">
        <v>13</v>
      </c>
      <c r="O54" s="2"/>
      <c r="P54" s="2" t="s">
        <v>15</v>
      </c>
    </row>
    <row r="55" spans="1:16" x14ac:dyDescent="0.25">
      <c r="A55" s="3">
        <v>43763</v>
      </c>
      <c r="B55" s="2" t="s">
        <v>75</v>
      </c>
      <c r="C55">
        <v>70.677999999999997</v>
      </c>
      <c r="D55" s="21">
        <v>3</v>
      </c>
      <c r="E55" t="s">
        <v>269</v>
      </c>
      <c r="F55">
        <v>44.326300000000003</v>
      </c>
      <c r="G55">
        <v>5671.8568632942033</v>
      </c>
      <c r="H55">
        <v>3.14</v>
      </c>
      <c r="I55" s="3" t="str">
        <f>IF(OR(WEEKDAY(A55)=6,WEEKDAY(A55)=7,WEEKDAY(A55)=1),"Weekend","Weekday")</f>
        <v>Weekend</v>
      </c>
      <c r="J55" s="18">
        <v>27.5</v>
      </c>
      <c r="K55" s="2" t="s">
        <v>246</v>
      </c>
      <c r="L55" s="2" t="s">
        <v>11</v>
      </c>
      <c r="M55" s="2" t="s">
        <v>12</v>
      </c>
      <c r="N55" s="2" t="s">
        <v>37</v>
      </c>
      <c r="O55" s="2"/>
      <c r="P55" s="2" t="s">
        <v>15</v>
      </c>
    </row>
    <row r="56" spans="1:16" x14ac:dyDescent="0.25">
      <c r="A56" s="3">
        <v>43454</v>
      </c>
      <c r="B56" s="2" t="s">
        <v>36</v>
      </c>
      <c r="C56">
        <v>90.978999999999999</v>
      </c>
      <c r="D56" s="21">
        <v>0</v>
      </c>
      <c r="E56" t="s">
        <v>270</v>
      </c>
      <c r="F56">
        <v>65.2</v>
      </c>
      <c r="G56">
        <v>4145.439896732647</v>
      </c>
      <c r="H56">
        <v>-0.3</v>
      </c>
      <c r="I56" s="3" t="str">
        <f>IF(OR(WEEKDAY(A56)=6,WEEKDAY(A56)=7,WEEKDAY(A56)=1),"Weekend","Weekday")</f>
        <v>Weekday</v>
      </c>
      <c r="J56" s="18">
        <v>28.7</v>
      </c>
      <c r="K56" s="2" t="s">
        <v>193</v>
      </c>
      <c r="L56" s="2" t="s">
        <v>33</v>
      </c>
      <c r="M56" s="2" t="s">
        <v>12</v>
      </c>
      <c r="N56" s="2" t="s">
        <v>37</v>
      </c>
      <c r="O56" s="2" t="s">
        <v>221</v>
      </c>
      <c r="P56" s="2" t="s">
        <v>15</v>
      </c>
    </row>
    <row r="57" spans="1:16" x14ac:dyDescent="0.25">
      <c r="A57" s="3">
        <v>44270</v>
      </c>
      <c r="B57" s="2" t="s">
        <v>36</v>
      </c>
      <c r="C57">
        <v>91.626000000000005</v>
      </c>
      <c r="D57" s="21">
        <v>3</v>
      </c>
      <c r="E57" t="s">
        <v>270</v>
      </c>
      <c r="F57">
        <v>86</v>
      </c>
      <c r="G57">
        <v>4183.4999832686635</v>
      </c>
      <c r="H57">
        <v>1.77</v>
      </c>
      <c r="I57" s="3" t="str">
        <f>IF(OR(WEEKDAY(A57)=6,WEEKDAY(A57)=7,WEEKDAY(A57)=1),"Weekend","Weekday")</f>
        <v>Weekday</v>
      </c>
      <c r="J57" s="18">
        <v>28.4</v>
      </c>
      <c r="K57" s="2" t="s">
        <v>10</v>
      </c>
      <c r="L57" s="2" t="s">
        <v>11</v>
      </c>
      <c r="M57" s="2" t="s">
        <v>12</v>
      </c>
      <c r="N57" s="2" t="s">
        <v>37</v>
      </c>
      <c r="O57" s="2" t="s">
        <v>160</v>
      </c>
      <c r="P57" s="2" t="s">
        <v>15</v>
      </c>
    </row>
    <row r="58" spans="1:16" x14ac:dyDescent="0.25">
      <c r="A58" s="3">
        <v>44911</v>
      </c>
      <c r="B58" s="2" t="s">
        <v>36</v>
      </c>
      <c r="C58">
        <v>91.826999999999998</v>
      </c>
      <c r="D58" s="21">
        <v>1</v>
      </c>
      <c r="E58" t="s">
        <v>270</v>
      </c>
      <c r="F58">
        <v>90.5</v>
      </c>
      <c r="G58">
        <v>4332.2515989793146</v>
      </c>
      <c r="H58">
        <v>0.94</v>
      </c>
      <c r="I58" s="3" t="str">
        <f>IF(OR(WEEKDAY(A58)=6,WEEKDAY(A58)=7,WEEKDAY(A58)=1),"Weekend","Weekday")</f>
        <v>Weekend</v>
      </c>
      <c r="J58" s="18">
        <v>28.2</v>
      </c>
      <c r="K58" s="2" t="s">
        <v>10</v>
      </c>
      <c r="L58" s="2" t="s">
        <v>11</v>
      </c>
      <c r="M58" s="2" t="s">
        <v>12</v>
      </c>
      <c r="N58" s="2" t="s">
        <v>37</v>
      </c>
      <c r="O58" s="2" t="s">
        <v>192</v>
      </c>
      <c r="P58" s="2" t="s">
        <v>15</v>
      </c>
    </row>
    <row r="59" spans="1:16" x14ac:dyDescent="0.25">
      <c r="A59" s="3">
        <v>45146</v>
      </c>
      <c r="B59" s="2" t="s">
        <v>36</v>
      </c>
      <c r="C59">
        <v>92.02</v>
      </c>
      <c r="D59" s="21">
        <v>0</v>
      </c>
      <c r="E59" t="s">
        <v>270</v>
      </c>
      <c r="F59">
        <v>92.534400000000005</v>
      </c>
      <c r="G59">
        <v>4466.0831420857512</v>
      </c>
      <c r="H59">
        <v>1.24</v>
      </c>
      <c r="I59" s="3" t="str">
        <f>IF(OR(WEEKDAY(A59)=6,WEEKDAY(A59)=7,WEEKDAY(A59)=1),"Weekend","Weekday")</f>
        <v>Weekday</v>
      </c>
      <c r="J59" s="18">
        <v>27.9</v>
      </c>
      <c r="K59" s="2" t="s">
        <v>10</v>
      </c>
      <c r="L59" s="2" t="s">
        <v>11</v>
      </c>
      <c r="M59" s="2" t="s">
        <v>12</v>
      </c>
      <c r="N59" s="2" t="s">
        <v>13</v>
      </c>
      <c r="O59" s="2" t="s">
        <v>150</v>
      </c>
      <c r="P59" s="2" t="s">
        <v>15</v>
      </c>
    </row>
    <row r="60" spans="1:16" x14ac:dyDescent="0.25">
      <c r="A60" s="3">
        <v>43594</v>
      </c>
      <c r="B60" s="2" t="s">
        <v>74</v>
      </c>
      <c r="C60">
        <v>57.54</v>
      </c>
      <c r="D60" s="21">
        <v>28</v>
      </c>
      <c r="E60" t="s">
        <v>269</v>
      </c>
      <c r="F60">
        <v>81.877600000000001</v>
      </c>
      <c r="G60">
        <v>9457.126146571356</v>
      </c>
      <c r="H60">
        <v>2.99</v>
      </c>
      <c r="I60" s="3" t="str">
        <f>IF(OR(WEEKDAY(A60)=6,WEEKDAY(A60)=7,WEEKDAY(A60)=1),"Weekend","Weekday")</f>
        <v>Weekday</v>
      </c>
      <c r="J60" s="18">
        <v>20.9</v>
      </c>
      <c r="K60" s="2" t="s">
        <v>193</v>
      </c>
      <c r="L60" s="2" t="s">
        <v>11</v>
      </c>
      <c r="M60" s="2" t="s">
        <v>12</v>
      </c>
      <c r="N60" s="2" t="s">
        <v>37</v>
      </c>
      <c r="O60" s="2" t="s">
        <v>233</v>
      </c>
      <c r="P60" s="2" t="s">
        <v>34</v>
      </c>
    </row>
    <row r="61" spans="1:16" x14ac:dyDescent="0.25">
      <c r="A61" s="3">
        <v>43625</v>
      </c>
      <c r="B61" s="2" t="s">
        <v>74</v>
      </c>
      <c r="C61">
        <v>57.54</v>
      </c>
      <c r="D61" s="21">
        <v>7</v>
      </c>
      <c r="E61" t="s">
        <v>269</v>
      </c>
      <c r="F61">
        <v>81.877600000000001</v>
      </c>
      <c r="G61">
        <v>9457.126146571356</v>
      </c>
      <c r="H61">
        <v>2.99</v>
      </c>
      <c r="I61" s="3" t="str">
        <f>IF(OR(WEEKDAY(A61)=6,WEEKDAY(A61)=7,WEEKDAY(A61)=1),"Weekend","Weekday")</f>
        <v>Weekend</v>
      </c>
      <c r="J61" s="18">
        <v>20.9</v>
      </c>
      <c r="K61" s="2" t="s">
        <v>193</v>
      </c>
      <c r="L61" s="2" t="s">
        <v>43</v>
      </c>
      <c r="M61" s="2" t="s">
        <v>12</v>
      </c>
      <c r="N61" s="2" t="s">
        <v>31</v>
      </c>
      <c r="O61" s="2"/>
      <c r="P61" s="2" t="s">
        <v>34</v>
      </c>
    </row>
    <row r="62" spans="1:16" x14ac:dyDescent="0.25">
      <c r="A62" s="3">
        <v>43627</v>
      </c>
      <c r="B62" s="2" t="s">
        <v>74</v>
      </c>
      <c r="C62">
        <v>57.54</v>
      </c>
      <c r="D62" s="21">
        <v>7</v>
      </c>
      <c r="E62" t="s">
        <v>269</v>
      </c>
      <c r="F62">
        <v>81.877600000000001</v>
      </c>
      <c r="G62">
        <v>9457.126146571356</v>
      </c>
      <c r="H62">
        <v>2.99</v>
      </c>
      <c r="I62" s="3" t="str">
        <f>IF(OR(WEEKDAY(A62)=6,WEEKDAY(A62)=7,WEEKDAY(A62)=1),"Weekend","Weekday")</f>
        <v>Weekday</v>
      </c>
      <c r="J62" s="18">
        <v>20.9</v>
      </c>
      <c r="K62" s="2" t="s">
        <v>193</v>
      </c>
      <c r="L62" s="2" t="s">
        <v>11</v>
      </c>
      <c r="M62" s="2" t="s">
        <v>12</v>
      </c>
      <c r="N62" s="2" t="s">
        <v>31</v>
      </c>
      <c r="O62" s="2" t="s">
        <v>242</v>
      </c>
      <c r="P62" s="2" t="s">
        <v>34</v>
      </c>
    </row>
    <row r="63" spans="1:16" x14ac:dyDescent="0.25">
      <c r="A63" s="3">
        <v>44565</v>
      </c>
      <c r="B63" s="2" t="s">
        <v>74</v>
      </c>
      <c r="C63">
        <v>57.99</v>
      </c>
      <c r="D63" s="21">
        <v>25</v>
      </c>
      <c r="E63" t="s">
        <v>269</v>
      </c>
      <c r="F63">
        <v>92.296899999999994</v>
      </c>
      <c r="G63">
        <v>11255.339643788113</v>
      </c>
      <c r="H63">
        <v>1.7</v>
      </c>
      <c r="I63" s="3" t="str">
        <f>IF(OR(WEEKDAY(A63)=6,WEEKDAY(A63)=7,WEEKDAY(A63)=1),"Weekend","Weekday")</f>
        <v>Weekday</v>
      </c>
      <c r="J63" s="18">
        <v>19.600000000000001</v>
      </c>
      <c r="K63" s="2" t="s">
        <v>10</v>
      </c>
      <c r="L63" s="2" t="s">
        <v>43</v>
      </c>
      <c r="M63" s="2" t="s">
        <v>12</v>
      </c>
      <c r="N63" s="2" t="s">
        <v>37</v>
      </c>
      <c r="O63" s="2" t="s">
        <v>165</v>
      </c>
      <c r="P63" s="2" t="s">
        <v>34</v>
      </c>
    </row>
    <row r="64" spans="1:16" x14ac:dyDescent="0.25">
      <c r="A64" s="3">
        <v>44853</v>
      </c>
      <c r="B64" s="2" t="s">
        <v>74</v>
      </c>
      <c r="C64">
        <v>57.99</v>
      </c>
      <c r="D64" s="21">
        <v>9</v>
      </c>
      <c r="E64" t="s">
        <v>269</v>
      </c>
      <c r="F64">
        <v>92.296899999999994</v>
      </c>
      <c r="G64">
        <v>11255.339643788113</v>
      </c>
      <c r="H64">
        <v>1.7</v>
      </c>
      <c r="I64" s="3" t="str">
        <f>IF(OR(WEEKDAY(A64)=6,WEEKDAY(A64)=7,WEEKDAY(A64)=1),"Weekend","Weekday")</f>
        <v>Weekday</v>
      </c>
      <c r="J64" s="18">
        <v>19.600000000000001</v>
      </c>
      <c r="K64" s="2" t="s">
        <v>10</v>
      </c>
      <c r="L64" s="2" t="s">
        <v>11</v>
      </c>
      <c r="M64" s="2" t="s">
        <v>12</v>
      </c>
      <c r="N64" s="2" t="s">
        <v>31</v>
      </c>
      <c r="O64" s="2" t="s">
        <v>189</v>
      </c>
      <c r="P64" s="2" t="s">
        <v>34</v>
      </c>
    </row>
    <row r="65" spans="1:16" x14ac:dyDescent="0.25">
      <c r="A65" s="3">
        <v>45468</v>
      </c>
      <c r="B65" s="2" t="s">
        <v>80</v>
      </c>
      <c r="C65">
        <v>30.048999999999999</v>
      </c>
      <c r="D65" s="21">
        <v>2</v>
      </c>
      <c r="E65" t="s">
        <v>271</v>
      </c>
      <c r="F65">
        <v>34.976199999999999</v>
      </c>
      <c r="G65">
        <v>2206.1349785176008</v>
      </c>
      <c r="H65">
        <v>2.4700000000000002</v>
      </c>
      <c r="I65" s="3" t="str">
        <f>IF(OR(WEEKDAY(A65)=6,WEEKDAY(A65)=7,WEEKDAY(A65)=1),"Weekend","Weekday")</f>
        <v>Weekday</v>
      </c>
      <c r="J65" s="18">
        <v>30.1</v>
      </c>
      <c r="K65" s="2" t="s">
        <v>10</v>
      </c>
      <c r="L65" s="2" t="s">
        <v>11</v>
      </c>
      <c r="M65" s="2" t="s">
        <v>12</v>
      </c>
      <c r="N65" s="2" t="s">
        <v>37</v>
      </c>
      <c r="O65" s="2" t="s">
        <v>81</v>
      </c>
      <c r="P65" s="2" t="s">
        <v>29</v>
      </c>
    </row>
    <row r="66" spans="1:16" x14ac:dyDescent="0.25">
      <c r="A66" s="3">
        <v>45400</v>
      </c>
      <c r="B66" s="2" t="s">
        <v>70</v>
      </c>
      <c r="C66">
        <v>38.165999999999997</v>
      </c>
      <c r="D66" s="21">
        <v>1</v>
      </c>
      <c r="E66" t="s">
        <v>269</v>
      </c>
      <c r="F66">
        <v>79.8</v>
      </c>
      <c r="G66">
        <v>2419.2655357452309</v>
      </c>
      <c r="H66">
        <v>7.16</v>
      </c>
      <c r="I66" s="3" t="str">
        <f>IF(OR(WEEKDAY(A66)=6,WEEKDAY(A66)=7,WEEKDAY(A66)=1),"Weekend","Weekday")</f>
        <v>Weekday</v>
      </c>
      <c r="J66" s="18">
        <v>23.5</v>
      </c>
      <c r="K66" s="2" t="s">
        <v>10</v>
      </c>
      <c r="L66" s="2" t="s">
        <v>11</v>
      </c>
      <c r="M66" s="2" t="s">
        <v>12</v>
      </c>
      <c r="N66" s="2" t="s">
        <v>13</v>
      </c>
      <c r="O66" s="2" t="s">
        <v>71</v>
      </c>
      <c r="P66" s="2" t="s">
        <v>34</v>
      </c>
    </row>
    <row r="67" spans="1:16" x14ac:dyDescent="0.25">
      <c r="A67" s="3">
        <v>43609</v>
      </c>
      <c r="B67" s="2" t="s">
        <v>22</v>
      </c>
      <c r="C67">
        <v>88.757999999999996</v>
      </c>
      <c r="D67" s="21">
        <v>23</v>
      </c>
      <c r="E67" t="s">
        <v>269</v>
      </c>
      <c r="F67">
        <v>81.481200000000001</v>
      </c>
      <c r="G67">
        <v>8905.8800549743664</v>
      </c>
      <c r="H67">
        <v>-3.87</v>
      </c>
      <c r="I67" s="3" t="str">
        <f>IF(OR(WEEKDAY(A67)=6,WEEKDAY(A67)=7,WEEKDAY(A67)=1),"Weekend","Weekday")</f>
        <v>Weekend</v>
      </c>
      <c r="J67" s="18">
        <v>25.1</v>
      </c>
      <c r="K67" s="2" t="s">
        <v>10</v>
      </c>
      <c r="L67" s="2" t="s">
        <v>11</v>
      </c>
      <c r="M67" s="2" t="s">
        <v>12</v>
      </c>
      <c r="N67" s="2" t="s">
        <v>13</v>
      </c>
      <c r="O67" s="2" t="s">
        <v>123</v>
      </c>
      <c r="P67" s="2" t="s">
        <v>15</v>
      </c>
    </row>
    <row r="68" spans="1:16" x14ac:dyDescent="0.25">
      <c r="A68" s="3">
        <v>43623</v>
      </c>
      <c r="B68" s="2" t="s">
        <v>239</v>
      </c>
      <c r="C68">
        <v>51.615000000000002</v>
      </c>
      <c r="D68" s="21">
        <v>1</v>
      </c>
      <c r="E68" t="s">
        <v>271</v>
      </c>
      <c r="F68">
        <v>18.3141</v>
      </c>
      <c r="G68">
        <v>658.1641807705065</v>
      </c>
      <c r="H68">
        <v>-4.38</v>
      </c>
      <c r="I68" s="3" t="str">
        <f>IF(OR(WEEKDAY(A68)=6,WEEKDAY(A68)=7,WEEKDAY(A68)=1),"Weekend","Weekday")</f>
        <v>Weekend</v>
      </c>
      <c r="J68" s="18">
        <v>28.5</v>
      </c>
      <c r="K68" s="2" t="s">
        <v>193</v>
      </c>
      <c r="L68" s="2" t="s">
        <v>11</v>
      </c>
      <c r="M68" s="2" t="s">
        <v>12</v>
      </c>
      <c r="N68" s="2" t="s">
        <v>37</v>
      </c>
      <c r="O68" s="2" t="s">
        <v>240</v>
      </c>
      <c r="P68" s="2" t="s">
        <v>29</v>
      </c>
    </row>
    <row r="69" spans="1:16" x14ac:dyDescent="0.25">
      <c r="A69" s="3">
        <v>45399</v>
      </c>
      <c r="B69" s="2" t="s">
        <v>68</v>
      </c>
      <c r="C69">
        <v>79.200999999999993</v>
      </c>
      <c r="D69" s="21">
        <v>6</v>
      </c>
      <c r="E69" t="s">
        <v>269</v>
      </c>
      <c r="F69">
        <v>98.020600000000002</v>
      </c>
      <c r="G69">
        <v>11867.258643544259</v>
      </c>
      <c r="H69">
        <v>3.84</v>
      </c>
      <c r="I69" s="3" t="str">
        <f>IF(OR(WEEKDAY(A69)=6,WEEKDAY(A69)=7,WEEKDAY(A69)=1),"Weekend","Weekday")</f>
        <v>Weekday</v>
      </c>
      <c r="J69" s="18">
        <v>24.6</v>
      </c>
      <c r="K69" s="2" t="s">
        <v>10</v>
      </c>
      <c r="L69" s="2" t="s">
        <v>11</v>
      </c>
      <c r="M69" s="2" t="s">
        <v>12</v>
      </c>
      <c r="N69" s="2" t="s">
        <v>13</v>
      </c>
      <c r="O69" s="2" t="s">
        <v>69</v>
      </c>
      <c r="P69" s="2" t="s">
        <v>17</v>
      </c>
    </row>
    <row r="70" spans="1:16" x14ac:dyDescent="0.25">
      <c r="A70" s="3">
        <v>42600</v>
      </c>
      <c r="B70" s="2" t="s">
        <v>217</v>
      </c>
      <c r="C70">
        <v>40.783000000000001</v>
      </c>
      <c r="D70" s="21">
        <v>1</v>
      </c>
      <c r="E70" t="s">
        <v>271</v>
      </c>
      <c r="F70">
        <v>14</v>
      </c>
      <c r="G70">
        <v>872.46858717165321</v>
      </c>
      <c r="H70">
        <v>2.7</v>
      </c>
      <c r="I70" s="3" t="str">
        <f>IF(OR(WEEKDAY(A70)=6,WEEKDAY(A70)=7,WEEKDAY(A70)=1),"Weekend","Weekday")</f>
        <v>Weekday</v>
      </c>
      <c r="J70" s="18">
        <v>25.5</v>
      </c>
      <c r="K70" s="2" t="s">
        <v>200</v>
      </c>
      <c r="L70" s="2" t="s">
        <v>11</v>
      </c>
      <c r="M70" s="2" t="s">
        <v>12</v>
      </c>
      <c r="N70" s="2" t="s">
        <v>37</v>
      </c>
      <c r="O70" s="2" t="s">
        <v>262</v>
      </c>
      <c r="P70" s="2" t="s">
        <v>29</v>
      </c>
    </row>
    <row r="71" spans="1:16" x14ac:dyDescent="0.25">
      <c r="A71" s="3">
        <v>43255</v>
      </c>
      <c r="B71" s="2" t="s">
        <v>217</v>
      </c>
      <c r="C71">
        <v>42.356000000000002</v>
      </c>
      <c r="D71" s="21">
        <v>3</v>
      </c>
      <c r="E71" t="s">
        <v>271</v>
      </c>
      <c r="F71">
        <v>21.4</v>
      </c>
      <c r="G71">
        <v>996.3792921369012</v>
      </c>
      <c r="H71">
        <v>1.64</v>
      </c>
      <c r="I71" s="3" t="str">
        <f>IF(OR(WEEKDAY(A71)=6,WEEKDAY(A71)=7,WEEKDAY(A71)=1),"Weekend","Weekday")</f>
        <v>Weekday</v>
      </c>
      <c r="J71" s="18">
        <v>25.6</v>
      </c>
      <c r="K71" s="2" t="s">
        <v>10</v>
      </c>
      <c r="L71" s="2" t="s">
        <v>11</v>
      </c>
      <c r="M71" s="2" t="s">
        <v>12</v>
      </c>
      <c r="N71" s="2" t="s">
        <v>31</v>
      </c>
      <c r="O71" s="2"/>
      <c r="P71" s="2" t="s">
        <v>29</v>
      </c>
    </row>
    <row r="72" spans="1:16" x14ac:dyDescent="0.25">
      <c r="A72" s="3">
        <v>45077</v>
      </c>
      <c r="B72" s="2" t="s">
        <v>82</v>
      </c>
      <c r="C72">
        <v>57.698999999999998</v>
      </c>
      <c r="D72" s="21">
        <v>5</v>
      </c>
      <c r="E72" t="s">
        <v>269</v>
      </c>
      <c r="F72">
        <v>37.380899999999997</v>
      </c>
      <c r="G72">
        <v>2120.8231842174737</v>
      </c>
      <c r="H72">
        <v>3.39</v>
      </c>
      <c r="I72" s="3" t="str">
        <f>IF(OR(WEEKDAY(A72)=6,WEEKDAY(A72)=7,WEEKDAY(A72)=1),"Weekend","Weekday")</f>
        <v>Weekday</v>
      </c>
      <c r="J72" s="18">
        <v>27.5</v>
      </c>
      <c r="K72" s="2" t="s">
        <v>10</v>
      </c>
      <c r="L72" s="2" t="s">
        <v>11</v>
      </c>
      <c r="M72" s="2" t="s">
        <v>12</v>
      </c>
      <c r="N72" s="2" t="s">
        <v>37</v>
      </c>
      <c r="O72" s="2" t="s">
        <v>143</v>
      </c>
      <c r="P72" s="2" t="s">
        <v>15</v>
      </c>
    </row>
    <row r="73" spans="1:16" x14ac:dyDescent="0.25">
      <c r="A73" s="3">
        <v>45475</v>
      </c>
      <c r="B73" s="2" t="s">
        <v>82</v>
      </c>
      <c r="C73">
        <v>58.457999999999998</v>
      </c>
      <c r="D73" s="21">
        <v>3</v>
      </c>
      <c r="E73" t="s">
        <v>269</v>
      </c>
      <c r="F73">
        <v>44.4</v>
      </c>
      <c r="G73">
        <v>2120.8231842174737</v>
      </c>
      <c r="H73">
        <v>2.21</v>
      </c>
      <c r="I73" s="3" t="str">
        <f>IF(OR(WEEKDAY(A73)=6,WEEKDAY(A73)=7,WEEKDAY(A73)=1),"Weekend","Weekday")</f>
        <v>Weekday</v>
      </c>
      <c r="J73" s="18">
        <v>27.4</v>
      </c>
      <c r="K73" s="2" t="s">
        <v>10</v>
      </c>
      <c r="L73" s="2" t="s">
        <v>11</v>
      </c>
      <c r="M73" s="2" t="s">
        <v>12</v>
      </c>
      <c r="N73" s="2" t="s">
        <v>37</v>
      </c>
      <c r="O73" s="2" t="s">
        <v>83</v>
      </c>
      <c r="P73" s="2" t="s">
        <v>15</v>
      </c>
    </row>
    <row r="74" spans="1:16" x14ac:dyDescent="0.25">
      <c r="A74" s="3">
        <v>45597</v>
      </c>
      <c r="B74" s="2" t="s">
        <v>112</v>
      </c>
      <c r="C74">
        <v>40.944000000000003</v>
      </c>
      <c r="D74" s="21">
        <v>1</v>
      </c>
      <c r="E74" t="s">
        <v>269</v>
      </c>
      <c r="F74">
        <v>75.5</v>
      </c>
      <c r="G74">
        <v>2082.7837442371365</v>
      </c>
      <c r="H74">
        <v>4.82</v>
      </c>
      <c r="I74" s="3" t="str">
        <f>IF(OR(WEEKDAY(A74)=6,WEEKDAY(A74)=7,WEEKDAY(A74)=1),"Weekend","Weekday")</f>
        <v>Weekend</v>
      </c>
      <c r="J74" s="18">
        <v>20.7</v>
      </c>
      <c r="K74" s="2" t="s">
        <v>10</v>
      </c>
      <c r="L74" s="2" t="s">
        <v>11</v>
      </c>
      <c r="M74" s="2" t="s">
        <v>12</v>
      </c>
      <c r="N74" s="2" t="s">
        <v>13</v>
      </c>
      <c r="O74" s="2" t="s">
        <v>113</v>
      </c>
      <c r="P74" s="2" t="s">
        <v>29</v>
      </c>
    </row>
    <row r="75" spans="1:16" x14ac:dyDescent="0.25">
      <c r="A75" s="3">
        <v>45210</v>
      </c>
      <c r="B75" s="2" t="s">
        <v>109</v>
      </c>
      <c r="C75">
        <v>38.753</v>
      </c>
      <c r="D75" s="21">
        <v>8</v>
      </c>
      <c r="E75" t="s">
        <v>269</v>
      </c>
      <c r="F75">
        <v>19.843399999999999</v>
      </c>
      <c r="G75">
        <v>622.98561932059567</v>
      </c>
      <c r="H75">
        <v>2.37</v>
      </c>
      <c r="I75" s="3" t="str">
        <f>IF(OR(WEEKDAY(A75)=6,WEEKDAY(A75)=7,WEEKDAY(A75)=1),"Weekend","Weekday")</f>
        <v>Weekday</v>
      </c>
      <c r="J75" s="18">
        <v>27.7</v>
      </c>
      <c r="K75" s="2" t="s">
        <v>10</v>
      </c>
      <c r="L75" s="2" t="s">
        <v>11</v>
      </c>
      <c r="M75" s="2" t="s">
        <v>12</v>
      </c>
      <c r="N75" s="2" t="s">
        <v>31</v>
      </c>
      <c r="O75" s="2" t="s">
        <v>155</v>
      </c>
      <c r="P75" s="2" t="s">
        <v>29</v>
      </c>
    </row>
    <row r="76" spans="1:16" x14ac:dyDescent="0.25">
      <c r="A76" s="3">
        <v>45591</v>
      </c>
      <c r="B76" s="2" t="s">
        <v>109</v>
      </c>
      <c r="C76">
        <v>39.326000000000001</v>
      </c>
      <c r="D76" s="21">
        <v>7</v>
      </c>
      <c r="E76" t="s">
        <v>269</v>
      </c>
      <c r="F76">
        <v>23.2</v>
      </c>
      <c r="G76">
        <v>647.28579950206984</v>
      </c>
      <c r="H76">
        <v>-1.07</v>
      </c>
      <c r="I76" s="3" t="str">
        <f>IF(OR(WEEKDAY(A76)=6,WEEKDAY(A76)=7,WEEKDAY(A76)=1),"Weekend","Weekday")</f>
        <v>Weekend</v>
      </c>
      <c r="J76" s="18">
        <v>27.9</v>
      </c>
      <c r="K76" s="2" t="s">
        <v>10</v>
      </c>
      <c r="L76" s="2" t="s">
        <v>11</v>
      </c>
      <c r="M76" s="2" t="s">
        <v>12</v>
      </c>
      <c r="N76" s="2" t="s">
        <v>37</v>
      </c>
      <c r="O76" s="2" t="s">
        <v>111</v>
      </c>
      <c r="P76" s="2" t="s">
        <v>29</v>
      </c>
    </row>
    <row r="77" spans="1:16" x14ac:dyDescent="0.25">
      <c r="A77" s="3">
        <v>44228</v>
      </c>
      <c r="B77" s="2" t="s">
        <v>40</v>
      </c>
      <c r="C77">
        <v>31.448</v>
      </c>
      <c r="D77" s="21">
        <v>0</v>
      </c>
      <c r="E77" t="s">
        <v>270</v>
      </c>
      <c r="F77">
        <v>56.5261</v>
      </c>
      <c r="G77">
        <v>1242.7213441959868</v>
      </c>
      <c r="H77">
        <v>-12.63</v>
      </c>
      <c r="I77" s="3" t="str">
        <f>IF(OR(WEEKDAY(A77)=6,WEEKDAY(A77)=7,WEEKDAY(A77)=1),"Weekend","Weekday")</f>
        <v>Weekday</v>
      </c>
      <c r="J77" s="18">
        <v>25.1</v>
      </c>
      <c r="K77" s="2" t="s">
        <v>193</v>
      </c>
      <c r="L77" s="2" t="s">
        <v>11</v>
      </c>
      <c r="M77" s="2" t="s">
        <v>41</v>
      </c>
      <c r="N77" s="2" t="s">
        <v>26</v>
      </c>
      <c r="O77" s="2" t="s">
        <v>198</v>
      </c>
      <c r="P77" s="2" t="s">
        <v>17</v>
      </c>
    </row>
    <row r="78" spans="1:16" x14ac:dyDescent="0.25">
      <c r="A78" s="3">
        <v>44341</v>
      </c>
      <c r="B78" s="2" t="s">
        <v>40</v>
      </c>
      <c r="C78">
        <v>31.448</v>
      </c>
      <c r="D78" s="21">
        <v>1</v>
      </c>
      <c r="E78" t="s">
        <v>270</v>
      </c>
      <c r="F78">
        <v>56.5261</v>
      </c>
      <c r="G78">
        <v>1242.7213441959868</v>
      </c>
      <c r="H78">
        <v>-12.63</v>
      </c>
      <c r="I78" s="3" t="str">
        <f>IF(OR(WEEKDAY(A78)=6,WEEKDAY(A78)=7,WEEKDAY(A78)=1),"Weekend","Weekday")</f>
        <v>Weekday</v>
      </c>
      <c r="J78" s="18">
        <v>25.1</v>
      </c>
      <c r="K78" s="2" t="s">
        <v>206</v>
      </c>
      <c r="L78" s="2" t="s">
        <v>11</v>
      </c>
      <c r="M78" s="2" t="s">
        <v>41</v>
      </c>
      <c r="N78" s="2" t="s">
        <v>26</v>
      </c>
      <c r="O78" s="2"/>
      <c r="P78" s="2" t="s">
        <v>17</v>
      </c>
    </row>
    <row r="79" spans="1:16" x14ac:dyDescent="0.25">
      <c r="A79" s="3">
        <v>44604</v>
      </c>
      <c r="B79" s="2" t="s">
        <v>40</v>
      </c>
      <c r="C79">
        <v>31.771000000000001</v>
      </c>
      <c r="D79" s="21">
        <v>0</v>
      </c>
      <c r="E79" t="s">
        <v>270</v>
      </c>
      <c r="F79">
        <v>58.011200000000002</v>
      </c>
      <c r="G79">
        <v>1158.0500503433166</v>
      </c>
      <c r="H79">
        <v>3.32</v>
      </c>
      <c r="I79" s="3" t="str">
        <f>IF(OR(WEEKDAY(A79)=6,WEEKDAY(A79)=7,WEEKDAY(A79)=1),"Weekend","Weekday")</f>
        <v>Weekend</v>
      </c>
      <c r="J79" s="18">
        <v>24.9</v>
      </c>
      <c r="K79" s="2" t="s">
        <v>10</v>
      </c>
      <c r="L79" s="2" t="s">
        <v>11</v>
      </c>
      <c r="M79" s="2" t="s">
        <v>41</v>
      </c>
      <c r="N79" s="2" t="s">
        <v>37</v>
      </c>
      <c r="O79" s="2" t="s">
        <v>169</v>
      </c>
      <c r="P79" s="2" t="s">
        <v>17</v>
      </c>
    </row>
    <row r="80" spans="1:16" x14ac:dyDescent="0.25">
      <c r="A80" s="3">
        <v>45487</v>
      </c>
      <c r="B80" s="2" t="s">
        <v>40</v>
      </c>
      <c r="C80">
        <v>32.47</v>
      </c>
      <c r="D80" s="21">
        <v>6</v>
      </c>
      <c r="E80" t="s">
        <v>270</v>
      </c>
      <c r="F80">
        <v>44</v>
      </c>
      <c r="G80">
        <v>1359.2596139413524</v>
      </c>
      <c r="H80">
        <v>-1.64</v>
      </c>
      <c r="I80" s="3" t="str">
        <f>IF(OR(WEEKDAY(A80)=6,WEEKDAY(A80)=7,WEEKDAY(A80)=1),"Weekend","Weekday")</f>
        <v>Weekend</v>
      </c>
      <c r="J80" s="18">
        <v>24.3</v>
      </c>
      <c r="K80" s="2" t="s">
        <v>10</v>
      </c>
      <c r="L80" s="2" t="s">
        <v>11</v>
      </c>
      <c r="M80" s="2" t="s">
        <v>41</v>
      </c>
      <c r="N80" s="2" t="s">
        <v>26</v>
      </c>
      <c r="O80" s="2" t="s">
        <v>85</v>
      </c>
      <c r="P80" s="2" t="s">
        <v>17</v>
      </c>
    </row>
    <row r="81" spans="1:16" x14ac:dyDescent="0.25">
      <c r="A81" s="3">
        <v>45243</v>
      </c>
      <c r="B81" s="2" t="s">
        <v>46</v>
      </c>
      <c r="C81">
        <v>21.902999999999999</v>
      </c>
      <c r="D81" s="21">
        <v>8</v>
      </c>
      <c r="E81" t="s">
        <v>271</v>
      </c>
      <c r="F81">
        <v>55.771599999999999</v>
      </c>
      <c r="G81">
        <v>1385.9106627485075</v>
      </c>
      <c r="H81">
        <v>2.54</v>
      </c>
      <c r="I81" s="3" t="str">
        <f>IF(OR(WEEKDAY(A81)=6,WEEKDAY(A81)=7,WEEKDAY(A81)=1),"Weekend","Weekday")</f>
        <v>Weekday</v>
      </c>
      <c r="J81" s="18">
        <v>29.6</v>
      </c>
      <c r="K81" s="2" t="s">
        <v>10</v>
      </c>
      <c r="L81" s="2" t="s">
        <v>11</v>
      </c>
      <c r="M81" s="2" t="s">
        <v>12</v>
      </c>
      <c r="N81" s="2" t="s">
        <v>13</v>
      </c>
      <c r="O81" s="2" t="s">
        <v>157</v>
      </c>
      <c r="P81" s="2" t="s">
        <v>17</v>
      </c>
    </row>
    <row r="82" spans="1:16" x14ac:dyDescent="0.25">
      <c r="A82" s="3">
        <v>42461</v>
      </c>
      <c r="B82" s="2" t="s">
        <v>255</v>
      </c>
      <c r="C82">
        <v>61.470999999999997</v>
      </c>
      <c r="D82" s="21">
        <v>0</v>
      </c>
      <c r="E82" t="s">
        <v>270</v>
      </c>
      <c r="F82">
        <v>0.03</v>
      </c>
      <c r="G82">
        <v>1136</v>
      </c>
      <c r="H82">
        <v>3.9</v>
      </c>
      <c r="I82" s="3" t="str">
        <f>IF(OR(WEEKDAY(A82)=6,WEEKDAY(A82)=7,WEEKDAY(A82)=1),"Weekend","Weekday")</f>
        <v>Weekend</v>
      </c>
      <c r="J82" s="18">
        <v>23.6</v>
      </c>
      <c r="K82" s="2" t="s">
        <v>200</v>
      </c>
      <c r="L82" s="2" t="s">
        <v>11</v>
      </c>
      <c r="M82" s="2" t="s">
        <v>12</v>
      </c>
      <c r="N82" s="2" t="s">
        <v>13</v>
      </c>
      <c r="O82" s="2"/>
      <c r="P82" s="2" t="s">
        <v>17</v>
      </c>
    </row>
    <row r="83" spans="1:16" x14ac:dyDescent="0.25">
      <c r="A83" s="3">
        <v>44269</v>
      </c>
      <c r="B83" s="2" t="s">
        <v>35</v>
      </c>
      <c r="C83">
        <v>87.043999999999997</v>
      </c>
      <c r="D83" s="21">
        <v>1</v>
      </c>
      <c r="E83" t="s">
        <v>270</v>
      </c>
      <c r="F83">
        <v>95.238799999999998</v>
      </c>
      <c r="G83">
        <v>19403.460016021098</v>
      </c>
      <c r="H83">
        <v>3.09</v>
      </c>
      <c r="I83" s="3" t="str">
        <f>IF(OR(WEEKDAY(A83)=6,WEEKDAY(A83)=7,WEEKDAY(A83)=1),"Weekend","Weekday")</f>
        <v>Weekend</v>
      </c>
      <c r="J83" s="18">
        <v>27</v>
      </c>
      <c r="K83" s="2" t="s">
        <v>10</v>
      </c>
      <c r="L83" s="2" t="s">
        <v>11</v>
      </c>
      <c r="M83" s="2" t="s">
        <v>12</v>
      </c>
      <c r="N83" s="2" t="s">
        <v>13</v>
      </c>
      <c r="O83" s="2" t="s">
        <v>126</v>
      </c>
      <c r="P83" s="2" t="s">
        <v>15</v>
      </c>
    </row>
    <row r="84" spans="1:16" x14ac:dyDescent="0.25">
      <c r="A84" s="3">
        <v>44603</v>
      </c>
      <c r="B84" s="2" t="s">
        <v>35</v>
      </c>
      <c r="C84">
        <v>87.75</v>
      </c>
      <c r="D84" s="21">
        <v>1</v>
      </c>
      <c r="E84" t="s">
        <v>270</v>
      </c>
      <c r="F84">
        <v>95.2453</v>
      </c>
      <c r="G84">
        <v>23223.582940593456</v>
      </c>
      <c r="H84">
        <v>2.74</v>
      </c>
      <c r="I84" s="3" t="str">
        <f>IF(OR(WEEKDAY(A84)=6,WEEKDAY(A84)=7,WEEKDAY(A84)=1),"Weekend","Weekday")</f>
        <v>Weekend</v>
      </c>
      <c r="J84" s="18">
        <v>26.5</v>
      </c>
      <c r="K84" s="2" t="s">
        <v>10</v>
      </c>
      <c r="L84" s="2" t="s">
        <v>11</v>
      </c>
      <c r="M84" s="2" t="s">
        <v>12</v>
      </c>
      <c r="N84" s="2" t="s">
        <v>13</v>
      </c>
      <c r="O84" s="2" t="s">
        <v>128</v>
      </c>
      <c r="P84" s="2" t="s">
        <v>15</v>
      </c>
    </row>
    <row r="85" spans="1:16" x14ac:dyDescent="0.25">
      <c r="A85" s="3">
        <v>43616</v>
      </c>
      <c r="B85" s="2" t="s">
        <v>23</v>
      </c>
      <c r="C85">
        <v>36.906999999999996</v>
      </c>
      <c r="D85" s="21">
        <v>18</v>
      </c>
      <c r="E85" t="s">
        <v>269</v>
      </c>
      <c r="F85">
        <v>17.070900000000002</v>
      </c>
      <c r="G85">
        <v>1390.416909817447</v>
      </c>
      <c r="H85">
        <v>0.78</v>
      </c>
      <c r="I85" s="3" t="str">
        <f>IF(OR(WEEKDAY(A85)=6,WEEKDAY(A85)=7,WEEKDAY(A85)=1),"Weekend","Weekday")</f>
        <v>Weekend</v>
      </c>
      <c r="J85" s="18">
        <v>27.5</v>
      </c>
      <c r="K85" s="2" t="s">
        <v>10</v>
      </c>
      <c r="L85" s="2" t="s">
        <v>11</v>
      </c>
      <c r="M85" s="2" t="s">
        <v>12</v>
      </c>
      <c r="N85" s="2" t="s">
        <v>13</v>
      </c>
      <c r="O85" s="2" t="s">
        <v>124</v>
      </c>
      <c r="P85" s="2" t="s">
        <v>17</v>
      </c>
    </row>
    <row r="86" spans="1:16" x14ac:dyDescent="0.25">
      <c r="A86" s="3">
        <v>44302</v>
      </c>
      <c r="B86" s="2" t="s">
        <v>23</v>
      </c>
      <c r="C86">
        <v>37.44</v>
      </c>
      <c r="D86" s="21">
        <v>44</v>
      </c>
      <c r="E86" t="s">
        <v>269</v>
      </c>
      <c r="F86">
        <v>21.410699999999999</v>
      </c>
      <c r="G86">
        <v>1455.3192237018598</v>
      </c>
      <c r="H86">
        <v>4.5199999999999996</v>
      </c>
      <c r="I86" s="3" t="str">
        <f>IF(OR(WEEKDAY(A86)=6,WEEKDAY(A86)=7,WEEKDAY(A86)=1),"Weekend","Weekday")</f>
        <v>Weekend</v>
      </c>
      <c r="J86" s="18">
        <v>27.4</v>
      </c>
      <c r="K86" s="2" t="s">
        <v>193</v>
      </c>
      <c r="L86" s="2" t="s">
        <v>11</v>
      </c>
      <c r="M86" s="2" t="s">
        <v>12</v>
      </c>
      <c r="N86" s="2" t="s">
        <v>37</v>
      </c>
      <c r="O86" s="2" t="s">
        <v>205</v>
      </c>
      <c r="P86" s="2" t="s">
        <v>17</v>
      </c>
    </row>
    <row r="87" spans="1:16" x14ac:dyDescent="0.25">
      <c r="A87" s="3">
        <v>45055</v>
      </c>
      <c r="B87" s="2" t="s">
        <v>23</v>
      </c>
      <c r="C87">
        <v>38.04</v>
      </c>
      <c r="D87" s="21">
        <v>5</v>
      </c>
      <c r="E87" t="s">
        <v>269</v>
      </c>
      <c r="F87">
        <v>27.375900000000001</v>
      </c>
      <c r="G87">
        <v>1365.1692741097577</v>
      </c>
      <c r="H87">
        <v>-1.58</v>
      </c>
      <c r="I87" s="3" t="str">
        <f>IF(OR(WEEKDAY(A87)=6,WEEKDAY(A87)=7,WEEKDAY(A87)=1),"Weekend","Weekday")</f>
        <v>Weekday</v>
      </c>
      <c r="J87" s="18">
        <v>27.4</v>
      </c>
      <c r="K87" s="2" t="s">
        <v>10</v>
      </c>
      <c r="L87" s="2" t="s">
        <v>11</v>
      </c>
      <c r="M87" s="2" t="s">
        <v>12</v>
      </c>
      <c r="N87" s="2" t="s">
        <v>37</v>
      </c>
      <c r="O87" s="2" t="s">
        <v>140</v>
      </c>
      <c r="P87" s="2" t="s">
        <v>17</v>
      </c>
    </row>
    <row r="88" spans="1:16" x14ac:dyDescent="0.25">
      <c r="A88" s="3">
        <v>45277</v>
      </c>
      <c r="B88" s="2" t="s">
        <v>23</v>
      </c>
      <c r="C88">
        <v>38.04</v>
      </c>
      <c r="D88" s="21">
        <v>0</v>
      </c>
      <c r="E88" t="s">
        <v>269</v>
      </c>
      <c r="F88">
        <v>27.375900000000001</v>
      </c>
      <c r="G88">
        <v>1365.1692741097577</v>
      </c>
      <c r="H88">
        <v>-1.58</v>
      </c>
      <c r="I88" s="3" t="str">
        <f>IF(OR(WEEKDAY(A88)=6,WEEKDAY(A88)=7,WEEKDAY(A88)=1),"Weekend","Weekday")</f>
        <v>Weekend</v>
      </c>
      <c r="J88" s="18">
        <v>27.4</v>
      </c>
      <c r="K88" s="2" t="s">
        <v>10</v>
      </c>
      <c r="L88" s="2" t="s">
        <v>11</v>
      </c>
      <c r="M88" s="2" t="s">
        <v>12</v>
      </c>
      <c r="N88" s="2" t="s">
        <v>37</v>
      </c>
      <c r="O88" s="2" t="s">
        <v>159</v>
      </c>
      <c r="P88" s="2" t="s">
        <v>17</v>
      </c>
    </row>
    <row r="89" spans="1:16" x14ac:dyDescent="0.25">
      <c r="A89" s="3">
        <v>45330</v>
      </c>
      <c r="B89" s="2" t="s">
        <v>23</v>
      </c>
      <c r="C89">
        <v>38.365000000000002</v>
      </c>
      <c r="D89" s="21">
        <v>15</v>
      </c>
      <c r="E89" t="s">
        <v>269</v>
      </c>
      <c r="F89">
        <v>45.7</v>
      </c>
      <c r="G89">
        <v>1484.7498586477516</v>
      </c>
      <c r="H89">
        <v>1.69</v>
      </c>
      <c r="I89" s="3" t="str">
        <f>IF(OR(WEEKDAY(A89)=6,WEEKDAY(A89)=7,WEEKDAY(A89)=1),"Weekend","Weekday")</f>
        <v>Weekday</v>
      </c>
      <c r="J89" s="18">
        <v>27.4</v>
      </c>
      <c r="K89" s="2" t="s">
        <v>10</v>
      </c>
      <c r="L89" s="2" t="s">
        <v>11</v>
      </c>
      <c r="M89" s="2" t="s">
        <v>12</v>
      </c>
      <c r="N89" s="2" t="s">
        <v>31</v>
      </c>
      <c r="O89" s="2" t="s">
        <v>59</v>
      </c>
      <c r="P89" s="2" t="s">
        <v>17</v>
      </c>
    </row>
    <row r="90" spans="1:16" x14ac:dyDescent="0.25">
      <c r="A90" s="3">
        <v>45615</v>
      </c>
      <c r="B90" s="2" t="s">
        <v>23</v>
      </c>
      <c r="C90">
        <v>38.365000000000002</v>
      </c>
      <c r="D90" s="21">
        <v>49</v>
      </c>
      <c r="E90" t="s">
        <v>269</v>
      </c>
      <c r="F90">
        <v>45.7</v>
      </c>
      <c r="G90">
        <v>1484.7498586477516</v>
      </c>
      <c r="H90">
        <v>1.69</v>
      </c>
      <c r="I90" s="3" t="str">
        <f>IF(OR(WEEKDAY(A90)=6,WEEKDAY(A90)=7,WEEKDAY(A90)=1),"Weekend","Weekday")</f>
        <v>Weekday</v>
      </c>
      <c r="J90" s="18">
        <v>27.4</v>
      </c>
      <c r="K90" s="2" t="s">
        <v>10</v>
      </c>
      <c r="L90" s="2" t="s">
        <v>11</v>
      </c>
      <c r="M90" s="2" t="s">
        <v>12</v>
      </c>
      <c r="N90" s="2" t="s">
        <v>13</v>
      </c>
      <c r="O90" s="2" t="s">
        <v>114</v>
      </c>
      <c r="P90" s="2" t="s">
        <v>17</v>
      </c>
    </row>
    <row r="91" spans="1:16" x14ac:dyDescent="0.25">
      <c r="A91" s="3">
        <v>43203</v>
      </c>
      <c r="B91" s="2" t="s">
        <v>32</v>
      </c>
      <c r="C91">
        <v>74.433000000000007</v>
      </c>
      <c r="D91" s="21">
        <v>5</v>
      </c>
      <c r="E91" t="s">
        <v>269</v>
      </c>
      <c r="F91">
        <v>80.864699999999999</v>
      </c>
      <c r="G91">
        <v>11211.8876953125</v>
      </c>
      <c r="H91">
        <v>2.72</v>
      </c>
      <c r="I91" s="3" t="str">
        <f>IF(OR(WEEKDAY(A91)=6,WEEKDAY(A91)=7,WEEKDAY(A91)=1),"Weekend","Weekday")</f>
        <v>Weekend</v>
      </c>
      <c r="J91" s="18">
        <v>16.100000000000001</v>
      </c>
      <c r="K91" s="2" t="s">
        <v>10</v>
      </c>
      <c r="L91" s="2" t="s">
        <v>11</v>
      </c>
      <c r="M91" s="2" t="s">
        <v>103</v>
      </c>
      <c r="N91" s="2" t="s">
        <v>13</v>
      </c>
      <c r="O91" s="2"/>
      <c r="P91" s="2" t="s">
        <v>34</v>
      </c>
    </row>
    <row r="92" spans="1:16" x14ac:dyDescent="0.25">
      <c r="A92" s="3">
        <v>44618</v>
      </c>
      <c r="B92" s="2" t="s">
        <v>32</v>
      </c>
      <c r="C92">
        <v>75.126000000000005</v>
      </c>
      <c r="D92" s="21">
        <v>3</v>
      </c>
      <c r="E92" t="s">
        <v>269</v>
      </c>
      <c r="F92">
        <v>80.864699999999999</v>
      </c>
      <c r="G92">
        <v>15619.6142578125</v>
      </c>
      <c r="H92">
        <v>-1.0900000000000001</v>
      </c>
      <c r="I92" s="3" t="str">
        <f>IF(OR(WEEKDAY(A92)=6,WEEKDAY(A92)=7,WEEKDAY(A92)=1),"Weekend","Weekday")</f>
        <v>Weekend</v>
      </c>
      <c r="J92" s="18">
        <v>14.7</v>
      </c>
      <c r="K92" s="2" t="s">
        <v>10</v>
      </c>
      <c r="L92" s="2" t="s">
        <v>43</v>
      </c>
      <c r="M92" s="2" t="s">
        <v>12</v>
      </c>
      <c r="N92" s="2" t="s">
        <v>13</v>
      </c>
      <c r="O92" s="2" t="s">
        <v>129</v>
      </c>
      <c r="P92" s="2" t="s">
        <v>34</v>
      </c>
    </row>
    <row r="93" spans="1:16" x14ac:dyDescent="0.25">
      <c r="A93" s="3">
        <v>45484</v>
      </c>
      <c r="B93" s="13" t="s">
        <v>32</v>
      </c>
      <c r="C93">
        <v>75.548000000000002</v>
      </c>
      <c r="D93" s="21">
        <v>6</v>
      </c>
      <c r="E93" t="s">
        <v>269</v>
      </c>
      <c r="F93">
        <v>94.364999999999995</v>
      </c>
      <c r="G93">
        <v>14889.0185546875</v>
      </c>
      <c r="H93">
        <v>4.5599999999999996</v>
      </c>
      <c r="I93" s="3" t="str">
        <f>IF(OR(WEEKDAY(A93)=6,WEEKDAY(A93)=7,WEEKDAY(A93)=1),"Weekend","Weekday")</f>
        <v>Weekday</v>
      </c>
      <c r="J93" s="18">
        <v>15.2</v>
      </c>
      <c r="K93" s="2" t="s">
        <v>10</v>
      </c>
      <c r="L93" s="2" t="s">
        <v>43</v>
      </c>
      <c r="M93" s="2" t="s">
        <v>12</v>
      </c>
      <c r="N93" s="2" t="s">
        <v>13</v>
      </c>
      <c r="O93" s="2" t="s">
        <v>84</v>
      </c>
      <c r="P93" s="2" t="s">
        <v>34</v>
      </c>
    </row>
    <row r="94" spans="1:16" x14ac:dyDescent="0.25">
      <c r="A94" s="3">
        <v>45513</v>
      </c>
      <c r="B94" s="2" t="s">
        <v>32</v>
      </c>
      <c r="C94">
        <v>75.548000000000002</v>
      </c>
      <c r="D94" s="21">
        <v>6</v>
      </c>
      <c r="E94" t="s">
        <v>269</v>
      </c>
      <c r="F94">
        <v>94.364999999999995</v>
      </c>
      <c r="G94">
        <v>14889.0185546875</v>
      </c>
      <c r="H94">
        <v>4.5599999999999996</v>
      </c>
      <c r="I94" s="3" t="str">
        <f>IF(OR(WEEKDAY(A94)=6,WEEKDAY(A94)=7,WEEKDAY(A94)=1),"Weekend","Weekday")</f>
        <v>Weekend</v>
      </c>
      <c r="J94" s="18">
        <v>15.2</v>
      </c>
      <c r="K94" s="2" t="s">
        <v>10</v>
      </c>
      <c r="L94" s="2" t="s">
        <v>11</v>
      </c>
      <c r="M94" s="2" t="s">
        <v>12</v>
      </c>
      <c r="N94" s="2" t="s">
        <v>13</v>
      </c>
      <c r="O94" s="2" t="s">
        <v>98</v>
      </c>
      <c r="P94" s="2" t="s">
        <v>34</v>
      </c>
    </row>
    <row r="95" spans="1:16" x14ac:dyDescent="0.25">
      <c r="A95" s="3">
        <v>45573</v>
      </c>
      <c r="B95" s="2" t="s">
        <v>32</v>
      </c>
      <c r="C95">
        <v>75.548000000000002</v>
      </c>
      <c r="D95" s="21">
        <v>7</v>
      </c>
      <c r="E95" t="s">
        <v>269</v>
      </c>
      <c r="F95">
        <v>94.364999999999995</v>
      </c>
      <c r="G95">
        <v>14889.0185546875</v>
      </c>
      <c r="H95">
        <v>4.5599999999999996</v>
      </c>
      <c r="I95" s="3" t="str">
        <f>IF(OR(WEEKDAY(A95)=6,WEEKDAY(A95)=7,WEEKDAY(A95)=1),"Weekend","Weekday")</f>
        <v>Weekday</v>
      </c>
      <c r="J95" s="18">
        <v>15.2</v>
      </c>
      <c r="K95" s="2" t="s">
        <v>10</v>
      </c>
      <c r="L95" s="2" t="s">
        <v>11</v>
      </c>
      <c r="M95" s="2" t="s">
        <v>12</v>
      </c>
      <c r="N95" s="2" t="s">
        <v>13</v>
      </c>
      <c r="O95" s="2" t="s">
        <v>108</v>
      </c>
      <c r="P95" s="2" t="s">
        <v>34</v>
      </c>
    </row>
    <row r="96" spans="1:16" x14ac:dyDescent="0.25">
      <c r="A96" s="3">
        <v>45639</v>
      </c>
      <c r="B96" s="2" t="s">
        <v>32</v>
      </c>
      <c r="C96">
        <v>75.548000000000002</v>
      </c>
      <c r="D96" s="21">
        <v>10</v>
      </c>
      <c r="E96" t="s">
        <v>269</v>
      </c>
      <c r="F96">
        <v>94.364999999999995</v>
      </c>
      <c r="G96">
        <v>14889.0185546875</v>
      </c>
      <c r="H96">
        <v>4.5599999999999996</v>
      </c>
      <c r="I96" s="3" t="str">
        <f>IF(OR(WEEKDAY(A96)=6,WEEKDAY(A96)=7,WEEKDAY(A96)=1),"Weekend","Weekday")</f>
        <v>Weekend</v>
      </c>
      <c r="J96" s="18">
        <v>15.2</v>
      </c>
      <c r="K96" s="2" t="s">
        <v>10</v>
      </c>
      <c r="L96" s="2" t="s">
        <v>11</v>
      </c>
      <c r="M96" s="2" t="s">
        <v>12</v>
      </c>
      <c r="N96" s="2" t="s">
        <v>13</v>
      </c>
      <c r="O96" s="2" t="s">
        <v>116</v>
      </c>
      <c r="P96" s="2" t="s">
        <v>34</v>
      </c>
    </row>
    <row r="97" spans="1:16" x14ac:dyDescent="0.25">
      <c r="A97" s="3">
        <v>45078</v>
      </c>
      <c r="B97" s="2" t="s">
        <v>45</v>
      </c>
      <c r="C97">
        <v>49.579000000000001</v>
      </c>
      <c r="D97" s="21">
        <v>2</v>
      </c>
      <c r="E97" t="s">
        <v>271</v>
      </c>
      <c r="F97">
        <v>60.612200000000001</v>
      </c>
      <c r="G97">
        <v>1698.0338730084263</v>
      </c>
      <c r="H97">
        <v>1.8</v>
      </c>
      <c r="I97" s="3" t="str">
        <f>IF(OR(WEEKDAY(A97)=6,WEEKDAY(A97)=7,WEEKDAY(A97)=1),"Weekend","Weekday")</f>
        <v>Weekday</v>
      </c>
      <c r="J97" s="18">
        <v>27.7</v>
      </c>
      <c r="K97" s="2" t="s">
        <v>10</v>
      </c>
      <c r="L97" s="2" t="s">
        <v>11</v>
      </c>
      <c r="M97" s="2" t="s">
        <v>12</v>
      </c>
      <c r="N97" s="2" t="s">
        <v>37</v>
      </c>
      <c r="O97" s="2" t="s">
        <v>144</v>
      </c>
      <c r="P97" s="2" t="s">
        <v>29</v>
      </c>
    </row>
    <row r="98" spans="1:16" x14ac:dyDescent="0.25">
      <c r="A98" s="3">
        <v>45138</v>
      </c>
      <c r="B98" s="2" t="s">
        <v>45</v>
      </c>
      <c r="C98">
        <v>49.579000000000001</v>
      </c>
      <c r="D98" s="21">
        <v>1</v>
      </c>
      <c r="E98" t="s">
        <v>271</v>
      </c>
      <c r="F98">
        <v>60.612200000000001</v>
      </c>
      <c r="G98">
        <v>1698.0338730084263</v>
      </c>
      <c r="H98">
        <v>1.8</v>
      </c>
      <c r="I98" s="3" t="str">
        <f>IF(OR(WEEKDAY(A98)=6,WEEKDAY(A98)=7,WEEKDAY(A98)=1),"Weekend","Weekday")</f>
        <v>Weekday</v>
      </c>
      <c r="J98" s="18">
        <v>27.7</v>
      </c>
      <c r="K98" s="2" t="s">
        <v>10</v>
      </c>
      <c r="L98" s="2" t="s">
        <v>11</v>
      </c>
      <c r="M98" s="2" t="s">
        <v>12</v>
      </c>
      <c r="N98" s="2" t="s">
        <v>37</v>
      </c>
      <c r="O98" s="2" t="s">
        <v>148</v>
      </c>
      <c r="P98" s="2" t="s">
        <v>29</v>
      </c>
    </row>
    <row r="99" spans="1:16" x14ac:dyDescent="0.25">
      <c r="A99" s="3">
        <v>45140</v>
      </c>
      <c r="B99" s="2" t="s">
        <v>45</v>
      </c>
      <c r="C99">
        <v>49.579000000000001</v>
      </c>
      <c r="D99" s="21">
        <v>0</v>
      </c>
      <c r="E99" t="s">
        <v>271</v>
      </c>
      <c r="F99">
        <v>60.612200000000001</v>
      </c>
      <c r="G99">
        <v>1698.0338730084263</v>
      </c>
      <c r="H99">
        <v>1.8</v>
      </c>
      <c r="I99" s="3" t="str">
        <f>IF(OR(WEEKDAY(A99)=6,WEEKDAY(A99)=7,WEEKDAY(A99)=1),"Weekend","Weekday")</f>
        <v>Weekday</v>
      </c>
      <c r="J99" s="18">
        <v>27.7</v>
      </c>
      <c r="K99" s="2" t="s">
        <v>10</v>
      </c>
      <c r="L99" s="2" t="s">
        <v>11</v>
      </c>
      <c r="M99" s="2" t="s">
        <v>12</v>
      </c>
      <c r="N99" s="2" t="s">
        <v>37</v>
      </c>
      <c r="O99" s="2" t="s">
        <v>149</v>
      </c>
      <c r="P99" s="2" t="s">
        <v>29</v>
      </c>
    </row>
    <row r="100" spans="1:16" x14ac:dyDescent="0.25">
      <c r="A100" s="3">
        <v>45326</v>
      </c>
      <c r="B100" s="2" t="s">
        <v>45</v>
      </c>
      <c r="C100">
        <v>50.08</v>
      </c>
      <c r="D100" s="21">
        <v>3</v>
      </c>
      <c r="E100" t="s">
        <v>271</v>
      </c>
      <c r="F100">
        <v>61</v>
      </c>
      <c r="G100">
        <v>1743.9888838435945</v>
      </c>
      <c r="H100">
        <v>4.4400000000000004</v>
      </c>
      <c r="I100" s="3" t="str">
        <f>IF(OR(WEEKDAY(A100)=6,WEEKDAY(A100)=7,WEEKDAY(A100)=1),"Weekend","Weekday")</f>
        <v>Weekend</v>
      </c>
      <c r="J100" s="18">
        <v>27.8</v>
      </c>
      <c r="K100" s="2" t="s">
        <v>10</v>
      </c>
      <c r="L100" s="2" t="s">
        <v>11</v>
      </c>
      <c r="M100" s="2" t="s">
        <v>12</v>
      </c>
      <c r="N100" s="2" t="s">
        <v>37</v>
      </c>
      <c r="O100" s="2" t="s">
        <v>57</v>
      </c>
      <c r="P100" s="2" t="s">
        <v>29</v>
      </c>
    </row>
    <row r="101" spans="1:16" x14ac:dyDescent="0.25">
      <c r="A101" s="3">
        <v>43190</v>
      </c>
      <c r="B101" s="2" t="s">
        <v>179</v>
      </c>
      <c r="C101">
        <v>42.055</v>
      </c>
      <c r="D101" s="21">
        <v>2</v>
      </c>
      <c r="E101" t="s">
        <v>271</v>
      </c>
      <c r="F101">
        <v>14.4223</v>
      </c>
      <c r="G101">
        <v>845.91454046093224</v>
      </c>
      <c r="H101">
        <v>0.51</v>
      </c>
      <c r="I101" s="3" t="str">
        <f>IF(OR(WEEKDAY(A101)=6,WEEKDAY(A101)=7,WEEKDAY(A101)=1),"Weekend","Weekday")</f>
        <v>Weekend</v>
      </c>
      <c r="J101" s="18">
        <v>29.3</v>
      </c>
      <c r="K101" s="2" t="s">
        <v>10</v>
      </c>
      <c r="L101" s="2" t="s">
        <v>11</v>
      </c>
      <c r="M101" s="2" t="s">
        <v>12</v>
      </c>
      <c r="N101" s="2" t="s">
        <v>13</v>
      </c>
      <c r="O101" s="2"/>
      <c r="P101" s="2" t="s">
        <v>29</v>
      </c>
    </row>
    <row r="102" spans="1:16" x14ac:dyDescent="0.25">
      <c r="A102" s="3">
        <v>43166</v>
      </c>
      <c r="B102" s="2" t="s">
        <v>174</v>
      </c>
      <c r="C102">
        <v>18.475999999999999</v>
      </c>
      <c r="D102" s="21">
        <v>6</v>
      </c>
      <c r="E102" t="s">
        <v>271</v>
      </c>
      <c r="F102">
        <v>28.3</v>
      </c>
      <c r="G102">
        <v>4358.5609590604736</v>
      </c>
      <c r="H102">
        <v>1.29</v>
      </c>
      <c r="I102" s="3" t="str">
        <f>IF(OR(WEEKDAY(A102)=6,WEEKDAY(A102)=7,WEEKDAY(A102)=1),"Weekend","Weekday")</f>
        <v>Weekday</v>
      </c>
      <c r="J102" s="18">
        <v>21</v>
      </c>
      <c r="K102" s="2" t="s">
        <v>10</v>
      </c>
      <c r="L102" s="2" t="s">
        <v>11</v>
      </c>
      <c r="M102" s="2" t="s">
        <v>12</v>
      </c>
      <c r="N102" s="2" t="s">
        <v>49</v>
      </c>
      <c r="O102" s="2"/>
      <c r="P102" s="2" t="s">
        <v>17</v>
      </c>
    </row>
    <row r="103" spans="1:16" x14ac:dyDescent="0.25">
      <c r="A103" s="3">
        <v>43576</v>
      </c>
      <c r="B103" s="2" t="s">
        <v>174</v>
      </c>
      <c r="C103">
        <v>18.585000000000001</v>
      </c>
      <c r="D103" s="21">
        <v>7</v>
      </c>
      <c r="E103" t="s">
        <v>271</v>
      </c>
      <c r="F103">
        <v>32</v>
      </c>
      <c r="G103">
        <v>4081.9477272200284</v>
      </c>
      <c r="H103">
        <v>-0.21</v>
      </c>
      <c r="I103" s="3" t="str">
        <f>IF(OR(WEEKDAY(A103)=6,WEEKDAY(A103)=7,WEEKDAY(A103)=1),"Weekend","Weekday")</f>
        <v>Weekend</v>
      </c>
      <c r="J103" s="18">
        <v>21.2</v>
      </c>
      <c r="K103" s="2" t="s">
        <v>193</v>
      </c>
      <c r="L103" s="2" t="s">
        <v>11</v>
      </c>
      <c r="M103" s="2" t="s">
        <v>12</v>
      </c>
      <c r="N103" s="2" t="s">
        <v>13</v>
      </c>
      <c r="O103" s="2" t="s">
        <v>228</v>
      </c>
      <c r="P103" s="2" t="s">
        <v>17</v>
      </c>
    </row>
    <row r="104" spans="1:16" x14ac:dyDescent="0.25">
      <c r="A104" s="3">
        <v>43590</v>
      </c>
      <c r="B104" s="2" t="s">
        <v>174</v>
      </c>
      <c r="C104">
        <v>18.585000000000001</v>
      </c>
      <c r="D104" s="21">
        <v>12</v>
      </c>
      <c r="E104" t="s">
        <v>271</v>
      </c>
      <c r="F104">
        <v>32</v>
      </c>
      <c r="G104">
        <v>4081.9477272200284</v>
      </c>
      <c r="H104">
        <v>-0.21</v>
      </c>
      <c r="I104" s="3" t="str">
        <f>IF(OR(WEEKDAY(A104)=6,WEEKDAY(A104)=7,WEEKDAY(A104)=1),"Weekend","Weekday")</f>
        <v>Weekend</v>
      </c>
      <c r="J104" s="18">
        <v>21.2</v>
      </c>
      <c r="K104" s="2" t="s">
        <v>193</v>
      </c>
      <c r="L104" s="2" t="s">
        <v>11</v>
      </c>
      <c r="M104" s="2" t="s">
        <v>12</v>
      </c>
      <c r="N104" s="2" t="s">
        <v>13</v>
      </c>
      <c r="O104" s="2" t="s">
        <v>232</v>
      </c>
      <c r="P104" s="2" t="s">
        <v>17</v>
      </c>
    </row>
    <row r="105" spans="1:16" x14ac:dyDescent="0.25">
      <c r="A105" s="3">
        <v>44653</v>
      </c>
      <c r="B105" s="2" t="s">
        <v>174</v>
      </c>
      <c r="C105">
        <v>19.026</v>
      </c>
      <c r="D105" s="21">
        <v>3</v>
      </c>
      <c r="E105" t="s">
        <v>271</v>
      </c>
      <c r="F105">
        <v>48.3</v>
      </c>
      <c r="G105">
        <v>3342.636502538553</v>
      </c>
      <c r="H105">
        <v>-7.45</v>
      </c>
      <c r="I105" s="3" t="str">
        <f>IF(OR(WEEKDAY(A105)=6,WEEKDAY(A105)=7,WEEKDAY(A105)=1),"Weekend","Weekday")</f>
        <v>Weekend</v>
      </c>
      <c r="J105" s="18">
        <v>22.2</v>
      </c>
      <c r="K105" s="2" t="s">
        <v>10</v>
      </c>
      <c r="L105" s="2" t="s">
        <v>11</v>
      </c>
      <c r="M105" s="2" t="s">
        <v>12</v>
      </c>
      <c r="N105" s="2" t="s">
        <v>37</v>
      </c>
      <c r="O105" s="2" t="s">
        <v>175</v>
      </c>
      <c r="P105" s="2" t="s">
        <v>17</v>
      </c>
    </row>
    <row r="106" spans="1:16" x14ac:dyDescent="0.25">
      <c r="A106" s="3">
        <v>43455</v>
      </c>
      <c r="B106" s="2" t="s">
        <v>50</v>
      </c>
      <c r="C106">
        <v>34.642000000000003</v>
      </c>
      <c r="D106" s="21">
        <v>2</v>
      </c>
      <c r="E106" t="s">
        <v>269</v>
      </c>
      <c r="F106">
        <v>24.6</v>
      </c>
      <c r="G106">
        <v>731.02746582031295</v>
      </c>
      <c r="H106">
        <v>-6.02</v>
      </c>
      <c r="I106" s="3" t="str">
        <f>IF(OR(WEEKDAY(A106)=6,WEEKDAY(A106)=7,WEEKDAY(A106)=1),"Weekend","Weekday")</f>
        <v>Weekend</v>
      </c>
      <c r="J106" s="18">
        <v>27.5</v>
      </c>
      <c r="K106" s="2" t="s">
        <v>193</v>
      </c>
      <c r="L106" s="2" t="s">
        <v>11</v>
      </c>
      <c r="M106" s="2" t="s">
        <v>12</v>
      </c>
      <c r="N106" s="2" t="s">
        <v>37</v>
      </c>
      <c r="O106" s="2" t="s">
        <v>222</v>
      </c>
      <c r="P106" s="2" t="s">
        <v>15</v>
      </c>
    </row>
    <row r="107" spans="1:16" x14ac:dyDescent="0.25">
      <c r="A107" s="3">
        <v>43619</v>
      </c>
      <c r="B107" s="2" t="s">
        <v>50</v>
      </c>
      <c r="C107">
        <v>34.936</v>
      </c>
      <c r="D107" s="21">
        <v>4</v>
      </c>
      <c r="E107" t="s">
        <v>269</v>
      </c>
      <c r="F107">
        <v>25.9</v>
      </c>
      <c r="G107">
        <v>709.97528076171898</v>
      </c>
      <c r="H107">
        <v>-5.01</v>
      </c>
      <c r="I107" s="3" t="str">
        <f>IF(OR(WEEKDAY(A107)=6,WEEKDAY(A107)=7,WEEKDAY(A107)=1),"Weekend","Weekday")</f>
        <v>Weekday</v>
      </c>
      <c r="J107" s="18">
        <v>27.9</v>
      </c>
      <c r="K107" s="2" t="s">
        <v>193</v>
      </c>
      <c r="L107" s="2" t="s">
        <v>11</v>
      </c>
      <c r="M107" s="2" t="s">
        <v>12</v>
      </c>
      <c r="N107" s="2" t="s">
        <v>37</v>
      </c>
      <c r="O107" s="2" t="s">
        <v>238</v>
      </c>
      <c r="P107" s="2" t="s">
        <v>15</v>
      </c>
    </row>
    <row r="108" spans="1:16" x14ac:dyDescent="0.25">
      <c r="A108" s="3">
        <v>44742</v>
      </c>
      <c r="B108" s="2" t="s">
        <v>50</v>
      </c>
      <c r="C108">
        <v>35.956000000000003</v>
      </c>
      <c r="D108" s="21">
        <v>1</v>
      </c>
      <c r="E108" t="s">
        <v>270</v>
      </c>
      <c r="F108">
        <v>30.9</v>
      </c>
      <c r="G108">
        <v>1046.24084472656</v>
      </c>
      <c r="H108">
        <v>-3.59</v>
      </c>
      <c r="I108" s="3" t="str">
        <f>IF(OR(WEEKDAY(A108)=6,WEEKDAY(A108)=7,WEEKDAY(A108)=1),"Weekend","Weekday")</f>
        <v>Weekday</v>
      </c>
      <c r="J108" s="18">
        <v>28.8</v>
      </c>
      <c r="K108" s="2" t="s">
        <v>10</v>
      </c>
      <c r="L108" s="2" t="s">
        <v>11</v>
      </c>
      <c r="M108" s="2" t="s">
        <v>12</v>
      </c>
      <c r="N108" s="2" t="s">
        <v>37</v>
      </c>
      <c r="O108" s="2" t="s">
        <v>178</v>
      </c>
      <c r="P108" s="2" t="s">
        <v>15</v>
      </c>
    </row>
    <row r="109" spans="1:16" x14ac:dyDescent="0.25">
      <c r="A109" s="3">
        <v>44859</v>
      </c>
      <c r="B109" s="2" t="s">
        <v>50</v>
      </c>
      <c r="C109">
        <v>35.956000000000003</v>
      </c>
      <c r="D109" s="21">
        <v>10</v>
      </c>
      <c r="E109" t="s">
        <v>270</v>
      </c>
      <c r="F109">
        <v>30.9</v>
      </c>
      <c r="G109">
        <v>1046.24084472656</v>
      </c>
      <c r="H109">
        <v>-3.59</v>
      </c>
      <c r="I109" s="3" t="str">
        <f>IF(OR(WEEKDAY(A109)=6,WEEKDAY(A109)=7,WEEKDAY(A109)=1),"Weekend","Weekday")</f>
        <v>Weekday</v>
      </c>
      <c r="J109" s="18">
        <v>28.8</v>
      </c>
      <c r="K109" s="2" t="s">
        <v>10</v>
      </c>
      <c r="L109" s="2" t="s">
        <v>11</v>
      </c>
      <c r="M109" s="2" t="s">
        <v>12</v>
      </c>
      <c r="N109" s="2" t="s">
        <v>37</v>
      </c>
      <c r="O109" s="2" t="s">
        <v>190</v>
      </c>
      <c r="P109" s="2" t="s">
        <v>15</v>
      </c>
    </row>
    <row r="110" spans="1:16" x14ac:dyDescent="0.25">
      <c r="A110" s="3">
        <v>45032</v>
      </c>
      <c r="B110" s="2" t="s">
        <v>50</v>
      </c>
      <c r="C110">
        <v>36.341999999999999</v>
      </c>
      <c r="D110" s="21">
        <v>0</v>
      </c>
      <c r="E110" t="s">
        <v>270</v>
      </c>
      <c r="F110">
        <v>28.4</v>
      </c>
      <c r="G110">
        <v>797.283447265625</v>
      </c>
      <c r="H110">
        <v>-30.36</v>
      </c>
      <c r="I110" s="3" t="str">
        <f>IF(OR(WEEKDAY(A110)=6,WEEKDAY(A110)=7,WEEKDAY(A110)=1),"Weekend","Weekday")</f>
        <v>Weekend</v>
      </c>
      <c r="J110" s="18">
        <v>29.1</v>
      </c>
      <c r="K110" s="2" t="s">
        <v>10</v>
      </c>
      <c r="L110" s="2" t="s">
        <v>11</v>
      </c>
      <c r="M110" s="2" t="s">
        <v>12</v>
      </c>
      <c r="N110" s="2" t="s">
        <v>26</v>
      </c>
      <c r="O110" s="2" t="s">
        <v>135</v>
      </c>
      <c r="P110" s="2" t="s">
        <v>15</v>
      </c>
    </row>
    <row r="111" spans="1:16" x14ac:dyDescent="0.25">
      <c r="A111" s="3">
        <v>45039</v>
      </c>
      <c r="B111" s="2" t="s">
        <v>50</v>
      </c>
      <c r="C111">
        <v>36.341999999999999</v>
      </c>
      <c r="D111" s="21">
        <v>2</v>
      </c>
      <c r="E111" t="s">
        <v>270</v>
      </c>
      <c r="F111">
        <v>28.4</v>
      </c>
      <c r="G111">
        <v>797.283447265625</v>
      </c>
      <c r="H111">
        <v>-30.36</v>
      </c>
      <c r="I111" s="3" t="str">
        <f>IF(OR(WEEKDAY(A111)=6,WEEKDAY(A111)=7,WEEKDAY(A111)=1),"Weekend","Weekday")</f>
        <v>Weekend</v>
      </c>
      <c r="J111" s="18">
        <v>29.1</v>
      </c>
      <c r="K111" s="2" t="s">
        <v>10</v>
      </c>
      <c r="L111" s="2" t="s">
        <v>11</v>
      </c>
      <c r="M111" s="2" t="s">
        <v>41</v>
      </c>
      <c r="N111" s="2" t="s">
        <v>26</v>
      </c>
      <c r="O111" s="2" t="s">
        <v>136</v>
      </c>
      <c r="P111" s="2" t="s">
        <v>15</v>
      </c>
    </row>
    <row r="112" spans="1:16" x14ac:dyDescent="0.25">
      <c r="A112" s="3">
        <v>44974</v>
      </c>
      <c r="B112" s="2" t="s">
        <v>132</v>
      </c>
      <c r="C112">
        <v>66.411000000000001</v>
      </c>
      <c r="D112" s="21">
        <v>3</v>
      </c>
      <c r="E112" t="s">
        <v>272</v>
      </c>
      <c r="F112">
        <v>78.395799999999994</v>
      </c>
      <c r="G112">
        <v>5494.0740942551656</v>
      </c>
      <c r="H112">
        <v>1.61</v>
      </c>
      <c r="I112" s="3" t="str">
        <f>IF(OR(WEEKDAY(A112)=6,WEEKDAY(A112)=7,WEEKDAY(A112)=1),"Weekend","Weekday")</f>
        <v>Weekend</v>
      </c>
      <c r="J112" s="18">
        <v>24.8</v>
      </c>
      <c r="K112" s="2" t="s">
        <v>10</v>
      </c>
      <c r="L112" s="2" t="s">
        <v>11</v>
      </c>
      <c r="M112" s="2" t="s">
        <v>12</v>
      </c>
      <c r="N112" s="2" t="s">
        <v>37</v>
      </c>
      <c r="O112" s="2" t="s">
        <v>133</v>
      </c>
      <c r="P112" s="2" t="s">
        <v>67</v>
      </c>
    </row>
    <row r="113" spans="1:16" x14ac:dyDescent="0.25">
      <c r="A113" s="3">
        <v>42944</v>
      </c>
      <c r="B113" s="2" t="s">
        <v>76</v>
      </c>
      <c r="C113">
        <v>53.5</v>
      </c>
      <c r="D113" s="21">
        <v>1</v>
      </c>
      <c r="E113" t="s">
        <v>270</v>
      </c>
      <c r="F113">
        <v>32.700000000000003</v>
      </c>
      <c r="G113">
        <v>851.50200525415278</v>
      </c>
      <c r="H113">
        <v>-0.88</v>
      </c>
      <c r="I113" s="3" t="str">
        <f>IF(OR(WEEKDAY(A113)=6,WEEKDAY(A113)=7,WEEKDAY(A113)=1),"Weekend","Weekday")</f>
        <v>Weekend</v>
      </c>
      <c r="J113" s="18">
        <v>27.7</v>
      </c>
      <c r="K113" s="2" t="s">
        <v>200</v>
      </c>
      <c r="L113" s="2" t="s">
        <v>11</v>
      </c>
      <c r="M113" s="2" t="s">
        <v>12</v>
      </c>
      <c r="N113" s="2" t="s">
        <v>62</v>
      </c>
      <c r="O113" s="2"/>
      <c r="P113" s="2" t="s">
        <v>15</v>
      </c>
    </row>
    <row r="114" spans="1:16" x14ac:dyDescent="0.25">
      <c r="A114" s="3">
        <v>43606</v>
      </c>
      <c r="B114" s="2" t="s">
        <v>164</v>
      </c>
      <c r="C114">
        <v>27.309000000000001</v>
      </c>
      <c r="D114" s="21">
        <v>0</v>
      </c>
      <c r="E114" t="s">
        <v>269</v>
      </c>
      <c r="F114">
        <v>21.3</v>
      </c>
      <c r="G114">
        <v>871.02237293484575</v>
      </c>
      <c r="H114">
        <v>4.8899999999999997</v>
      </c>
      <c r="I114" s="3" t="str">
        <f>IF(OR(WEEKDAY(A114)=6,WEEKDAY(A114)=7,WEEKDAY(A114)=1),"Weekend","Weekday")</f>
        <v>Weekday</v>
      </c>
      <c r="J114" s="18">
        <v>24.9</v>
      </c>
      <c r="K114" s="2" t="s">
        <v>193</v>
      </c>
      <c r="L114" s="2" t="s">
        <v>43</v>
      </c>
      <c r="M114" s="2" t="s">
        <v>12</v>
      </c>
      <c r="N114" s="2" t="s">
        <v>62</v>
      </c>
      <c r="O114" s="2" t="s">
        <v>236</v>
      </c>
      <c r="P114" s="2" t="s">
        <v>34</v>
      </c>
    </row>
    <row r="115" spans="1:16" x14ac:dyDescent="0.25">
      <c r="A115" s="3">
        <v>45006</v>
      </c>
      <c r="B115" s="2" t="s">
        <v>44</v>
      </c>
      <c r="C115">
        <v>37.408999999999999</v>
      </c>
      <c r="D115" s="21">
        <v>0</v>
      </c>
      <c r="E115" t="s">
        <v>269</v>
      </c>
      <c r="F115">
        <v>29.063800000000001</v>
      </c>
      <c r="G115">
        <v>1224.48962402344</v>
      </c>
      <c r="H115">
        <v>2.08</v>
      </c>
      <c r="I115" s="3" t="str">
        <f>IF(OR(WEEKDAY(A115)=6,WEEKDAY(A115)=7,WEEKDAY(A115)=1),"Weekend","Weekday")</f>
        <v>Weekday</v>
      </c>
      <c r="J115" s="18">
        <v>27.3</v>
      </c>
      <c r="K115" s="2" t="s">
        <v>10</v>
      </c>
      <c r="L115" s="2" t="s">
        <v>11</v>
      </c>
      <c r="M115" s="2" t="s">
        <v>12</v>
      </c>
      <c r="N115" s="2" t="s">
        <v>13</v>
      </c>
      <c r="O115" s="2" t="s">
        <v>134</v>
      </c>
      <c r="P115" s="2" t="s">
        <v>29</v>
      </c>
    </row>
    <row r="116" spans="1:16" x14ac:dyDescent="0.25">
      <c r="A116" s="3">
        <v>45151</v>
      </c>
      <c r="B116" s="2" t="s">
        <v>44</v>
      </c>
      <c r="C116">
        <v>37.408999999999999</v>
      </c>
      <c r="D116" s="21">
        <v>0</v>
      </c>
      <c r="E116" t="s">
        <v>269</v>
      </c>
      <c r="F116">
        <v>29.063800000000001</v>
      </c>
      <c r="G116">
        <v>1224.48962402344</v>
      </c>
      <c r="H116">
        <v>2.08</v>
      </c>
      <c r="I116" s="3" t="str">
        <f>IF(OR(WEEKDAY(A116)=6,WEEKDAY(A116)=7,WEEKDAY(A116)=1),"Weekend","Weekday")</f>
        <v>Weekend</v>
      </c>
      <c r="J116" s="18">
        <v>27.3</v>
      </c>
      <c r="K116" s="2" t="s">
        <v>10</v>
      </c>
      <c r="L116" s="2" t="s">
        <v>11</v>
      </c>
      <c r="M116" s="2" t="s">
        <v>12</v>
      </c>
      <c r="N116" s="2" t="s">
        <v>13</v>
      </c>
      <c r="O116" s="2" t="s">
        <v>151</v>
      </c>
      <c r="P116" s="2" t="s">
        <v>29</v>
      </c>
    </row>
    <row r="117" spans="1:16" x14ac:dyDescent="0.25">
      <c r="A117" s="3">
        <v>45534</v>
      </c>
      <c r="B117" s="2" t="s">
        <v>44</v>
      </c>
      <c r="C117">
        <v>38.136000000000003</v>
      </c>
      <c r="D117" s="21">
        <v>0</v>
      </c>
      <c r="E117" t="s">
        <v>269</v>
      </c>
      <c r="F117">
        <v>31.9</v>
      </c>
      <c r="G117">
        <v>1185.74548339844</v>
      </c>
      <c r="H117">
        <v>2.5499999999999998</v>
      </c>
      <c r="I117" s="3" t="str">
        <f>IF(OR(WEEKDAY(A117)=6,WEEKDAY(A117)=7,WEEKDAY(A117)=1),"Weekend","Weekday")</f>
        <v>Weekend</v>
      </c>
      <c r="J117" s="18">
        <v>27.3</v>
      </c>
      <c r="K117" s="2" t="s">
        <v>10</v>
      </c>
      <c r="L117" s="2" t="s">
        <v>11</v>
      </c>
      <c r="M117" s="2" t="s">
        <v>12</v>
      </c>
      <c r="N117" s="2" t="s">
        <v>62</v>
      </c>
      <c r="O117" s="2" t="s">
        <v>101</v>
      </c>
      <c r="P117" s="2" t="s">
        <v>29</v>
      </c>
    </row>
    <row r="118" spans="1:16" x14ac:dyDescent="0.25">
      <c r="A118" s="3">
        <v>44650</v>
      </c>
      <c r="B118" s="2" t="s">
        <v>172</v>
      </c>
      <c r="C118">
        <v>70.213999999999999</v>
      </c>
      <c r="D118" s="21">
        <v>16</v>
      </c>
      <c r="E118" t="s">
        <v>269</v>
      </c>
      <c r="F118">
        <v>83.437200000000004</v>
      </c>
      <c r="G118">
        <v>3708.8481241035984</v>
      </c>
      <c r="H118">
        <v>2.0699999999999998</v>
      </c>
      <c r="I118" s="3" t="str">
        <f>IF(OR(WEEKDAY(A118)=6,WEEKDAY(A118)=7,WEEKDAY(A118)=1),"Weekend","Weekday")</f>
        <v>Weekday</v>
      </c>
      <c r="J118" s="18">
        <v>19.600000000000001</v>
      </c>
      <c r="K118" s="2" t="s">
        <v>10</v>
      </c>
      <c r="L118" s="2" t="s">
        <v>11</v>
      </c>
      <c r="M118" s="2" t="s">
        <v>12</v>
      </c>
      <c r="N118" s="2" t="s">
        <v>62</v>
      </c>
      <c r="O118" s="2" t="s">
        <v>173</v>
      </c>
      <c r="P118" s="2" t="s">
        <v>15</v>
      </c>
    </row>
    <row r="119" spans="1:16" x14ac:dyDescent="0.25">
      <c r="A119" s="3">
        <v>42566</v>
      </c>
      <c r="B119" t="s">
        <v>274</v>
      </c>
      <c r="C119">
        <v>74.134</v>
      </c>
      <c r="D119" s="21">
        <v>22</v>
      </c>
      <c r="E119" t="s">
        <v>269</v>
      </c>
      <c r="F119">
        <v>58.347700000000003</v>
      </c>
      <c r="G119">
        <v>10970.045894886165</v>
      </c>
      <c r="H119">
        <v>1.94</v>
      </c>
      <c r="I119" s="3" t="str">
        <f>IF(OR(WEEKDAY(A119)=6,WEEKDAY(A119)=7,WEEKDAY(A119)=1),"Weekend","Weekday")</f>
        <v>Weekend</v>
      </c>
      <c r="J119" s="18">
        <v>24.1</v>
      </c>
      <c r="K119" s="2" t="s">
        <v>200</v>
      </c>
      <c r="L119" s="2" t="s">
        <v>11</v>
      </c>
      <c r="M119" s="2" t="s">
        <v>12</v>
      </c>
      <c r="N119" s="2" t="s">
        <v>26</v>
      </c>
      <c r="O119" s="2" t="s">
        <v>261</v>
      </c>
      <c r="P119" s="2" t="s">
        <v>15</v>
      </c>
    </row>
    <row r="120" spans="1:16" x14ac:dyDescent="0.25">
      <c r="A120" s="3">
        <v>42651</v>
      </c>
      <c r="B120" t="s">
        <v>274</v>
      </c>
      <c r="C120">
        <v>74.134</v>
      </c>
      <c r="D120" s="21">
        <v>27</v>
      </c>
      <c r="E120" t="s">
        <v>269</v>
      </c>
      <c r="F120">
        <v>58.347700000000003</v>
      </c>
      <c r="G120">
        <v>10970.045894886165</v>
      </c>
      <c r="H120">
        <v>1.94</v>
      </c>
      <c r="I120" s="3" t="str">
        <f>IF(OR(WEEKDAY(A120)=6,WEEKDAY(A120)=7,WEEKDAY(A120)=1),"Weekend","Weekday")</f>
        <v>Weekend</v>
      </c>
      <c r="J120" s="18">
        <v>24.1</v>
      </c>
      <c r="K120" s="2" t="s">
        <v>10</v>
      </c>
      <c r="L120" s="2" t="s">
        <v>11</v>
      </c>
      <c r="M120" s="2" t="s">
        <v>12</v>
      </c>
      <c r="N120" s="2" t="s">
        <v>13</v>
      </c>
      <c r="O120" s="2" t="s">
        <v>263</v>
      </c>
      <c r="P120" s="2" t="s">
        <v>15</v>
      </c>
    </row>
    <row r="121" spans="1:16" x14ac:dyDescent="0.25">
      <c r="A121" s="3">
        <v>43218</v>
      </c>
      <c r="B121" t="s">
        <v>274</v>
      </c>
      <c r="C121">
        <v>75.143000000000001</v>
      </c>
      <c r="D121" s="21">
        <v>19</v>
      </c>
      <c r="E121" t="s">
        <v>269</v>
      </c>
      <c r="F121">
        <v>71.0428</v>
      </c>
      <c r="G121">
        <v>9568.8350633022819</v>
      </c>
      <c r="H121">
        <v>1.63</v>
      </c>
      <c r="I121" s="3" t="str">
        <f>IF(OR(WEEKDAY(A121)=6,WEEKDAY(A121)=7,WEEKDAY(A121)=1),"Weekend","Weekday")</f>
        <v>Weekend</v>
      </c>
      <c r="J121" s="18">
        <v>23.6</v>
      </c>
      <c r="K121" s="2" t="s">
        <v>10</v>
      </c>
      <c r="L121" s="2" t="s">
        <v>11</v>
      </c>
      <c r="M121" s="2" t="s">
        <v>12</v>
      </c>
      <c r="N121" s="2" t="s">
        <v>13</v>
      </c>
      <c r="O121" s="2"/>
      <c r="P121" s="2" t="s">
        <v>15</v>
      </c>
    </row>
    <row r="122" spans="1:16" x14ac:dyDescent="0.25">
      <c r="A122" s="3">
        <v>43888</v>
      </c>
      <c r="B122" t="s">
        <v>274</v>
      </c>
      <c r="C122">
        <v>76.105000000000004</v>
      </c>
      <c r="D122" s="21">
        <v>19</v>
      </c>
      <c r="E122" t="s">
        <v>269</v>
      </c>
      <c r="F122">
        <v>77.669600000000003</v>
      </c>
      <c r="G122">
        <v>8638.7390384810224</v>
      </c>
      <c r="H122">
        <v>0.88</v>
      </c>
      <c r="I122" s="3" t="str">
        <f>IF(OR(WEEKDAY(A122)=6,WEEKDAY(A122)=7,WEEKDAY(A122)=1),"Weekend","Weekday")</f>
        <v>Weekday</v>
      </c>
      <c r="J122" s="18">
        <v>23.1</v>
      </c>
      <c r="K122" s="2" t="s">
        <v>207</v>
      </c>
      <c r="L122" s="2" t="s">
        <v>11</v>
      </c>
      <c r="M122" s="2" t="s">
        <v>12</v>
      </c>
      <c r="N122" s="2" t="s">
        <v>26</v>
      </c>
      <c r="O122" s="2"/>
      <c r="P122" s="2" t="s">
        <v>15</v>
      </c>
    </row>
    <row r="123" spans="1:16" x14ac:dyDescent="0.25">
      <c r="A123" s="3">
        <v>45506</v>
      </c>
      <c r="B123" t="s">
        <v>274</v>
      </c>
      <c r="C123">
        <v>77.893000000000001</v>
      </c>
      <c r="D123" s="21">
        <v>5</v>
      </c>
      <c r="E123" t="s">
        <v>269</v>
      </c>
      <c r="F123">
        <v>87.307900000000004</v>
      </c>
      <c r="G123">
        <v>15473.287263685574</v>
      </c>
      <c r="H123">
        <v>2.95</v>
      </c>
      <c r="I123" s="3" t="str">
        <f>IF(OR(WEEKDAY(A123)=6,WEEKDAY(A123)=7,WEEKDAY(A123)=1),"Weekend","Weekday")</f>
        <v>Weekend</v>
      </c>
      <c r="J123" s="18">
        <v>22.5</v>
      </c>
      <c r="K123" s="2" t="s">
        <v>10</v>
      </c>
      <c r="L123" s="2" t="s">
        <v>11</v>
      </c>
      <c r="M123" s="2" t="s">
        <v>12</v>
      </c>
      <c r="N123" s="2" t="s">
        <v>13</v>
      </c>
      <c r="O123" s="2" t="s">
        <v>94</v>
      </c>
      <c r="P123" s="2" t="s">
        <v>15</v>
      </c>
    </row>
    <row r="124" spans="1:16" x14ac:dyDescent="0.25">
      <c r="A124" s="3">
        <v>45573</v>
      </c>
      <c r="B124" t="s">
        <v>274</v>
      </c>
      <c r="C124">
        <v>77.893000000000001</v>
      </c>
      <c r="D124" s="21">
        <v>6</v>
      </c>
      <c r="E124" t="s">
        <v>269</v>
      </c>
      <c r="F124">
        <v>87.307900000000004</v>
      </c>
      <c r="G124">
        <v>15473.287263685574</v>
      </c>
      <c r="H124">
        <v>2.95</v>
      </c>
      <c r="I124" s="3" t="str">
        <f>IF(OR(WEEKDAY(A124)=6,WEEKDAY(A124)=7,WEEKDAY(A124)=1),"Weekend","Weekday")</f>
        <v>Weekday</v>
      </c>
      <c r="J124" s="18">
        <v>22.5</v>
      </c>
      <c r="K124" s="2" t="s">
        <v>10</v>
      </c>
      <c r="L124" s="2" t="s">
        <v>11</v>
      </c>
      <c r="M124" s="2" t="s">
        <v>103</v>
      </c>
      <c r="N124" s="2" t="s">
        <v>13</v>
      </c>
      <c r="O124" s="2" t="s">
        <v>107</v>
      </c>
      <c r="P124" s="2" t="s">
        <v>15</v>
      </c>
    </row>
    <row r="125" spans="1:16" x14ac:dyDescent="0.25">
      <c r="A125" s="3">
        <v>42418</v>
      </c>
      <c r="B125" s="2" t="s">
        <v>30</v>
      </c>
      <c r="C125">
        <v>22.623999999999999</v>
      </c>
      <c r="D125" s="21">
        <v>1</v>
      </c>
      <c r="E125" t="s">
        <v>269</v>
      </c>
      <c r="F125">
        <v>5.9</v>
      </c>
      <c r="G125">
        <v>752.69657172565564</v>
      </c>
      <c r="H125">
        <v>1.36</v>
      </c>
      <c r="I125" s="3" t="str">
        <f>IF(OR(WEEKDAY(A125)=6,WEEKDAY(A125)=7,WEEKDAY(A125)=1),"Weekend","Weekday")</f>
        <v>Weekday</v>
      </c>
      <c r="J125" s="18">
        <v>27.3</v>
      </c>
      <c r="K125" s="2" t="s">
        <v>200</v>
      </c>
      <c r="L125" s="2" t="s">
        <v>11</v>
      </c>
      <c r="M125" s="2" t="s">
        <v>12</v>
      </c>
      <c r="N125" s="2" t="s">
        <v>31</v>
      </c>
      <c r="O125" s="2"/>
      <c r="P125" s="2" t="s">
        <v>29</v>
      </c>
    </row>
    <row r="126" spans="1:16" x14ac:dyDescent="0.25">
      <c r="A126" s="3">
        <v>42501</v>
      </c>
      <c r="B126" s="2" t="s">
        <v>30</v>
      </c>
      <c r="C126">
        <v>22.623999999999999</v>
      </c>
      <c r="D126" s="21">
        <v>2</v>
      </c>
      <c r="E126" t="s">
        <v>269</v>
      </c>
      <c r="F126">
        <v>5.9</v>
      </c>
      <c r="G126">
        <v>752.69657172565564</v>
      </c>
      <c r="H126">
        <v>1.36</v>
      </c>
      <c r="I126" s="3" t="str">
        <f>IF(OR(WEEKDAY(A126)=6,WEEKDAY(A126)=7,WEEKDAY(A126)=1),"Weekend","Weekday")</f>
        <v>Weekday</v>
      </c>
      <c r="J126" s="18">
        <v>27.3</v>
      </c>
      <c r="K126" s="2" t="s">
        <v>200</v>
      </c>
      <c r="L126" s="2" t="s">
        <v>11</v>
      </c>
      <c r="M126" s="2" t="s">
        <v>12</v>
      </c>
      <c r="N126" s="2" t="s">
        <v>31</v>
      </c>
      <c r="O126" s="2" t="s">
        <v>259</v>
      </c>
      <c r="P126" s="2" t="s">
        <v>29</v>
      </c>
    </row>
    <row r="127" spans="1:16" x14ac:dyDescent="0.25">
      <c r="A127" s="3">
        <v>44209</v>
      </c>
      <c r="B127" s="2" t="s">
        <v>30</v>
      </c>
      <c r="C127">
        <v>25.553000000000001</v>
      </c>
      <c r="D127" s="21">
        <v>2</v>
      </c>
      <c r="E127" t="s">
        <v>269</v>
      </c>
      <c r="F127">
        <v>10</v>
      </c>
      <c r="G127">
        <v>882.79171744200096</v>
      </c>
      <c r="H127">
        <v>0.26</v>
      </c>
      <c r="I127" s="3" t="str">
        <f>IF(OR(WEEKDAY(A127)=6,WEEKDAY(A127)=7,WEEKDAY(A127)=1),"Weekend","Weekday")</f>
        <v>Weekday</v>
      </c>
      <c r="J127" s="18">
        <v>27.7</v>
      </c>
      <c r="K127" s="2" t="s">
        <v>193</v>
      </c>
      <c r="L127" s="2" t="s">
        <v>11</v>
      </c>
      <c r="M127" s="2" t="s">
        <v>12</v>
      </c>
      <c r="N127" s="2" t="s">
        <v>31</v>
      </c>
      <c r="O127" s="2" t="s">
        <v>195</v>
      </c>
      <c r="P127" s="2" t="s">
        <v>29</v>
      </c>
    </row>
    <row r="128" spans="1:16" x14ac:dyDescent="0.25">
      <c r="A128" s="3">
        <v>44503</v>
      </c>
      <c r="B128" s="2" t="s">
        <v>162</v>
      </c>
      <c r="C128">
        <v>50.427</v>
      </c>
      <c r="D128" s="21">
        <v>2</v>
      </c>
      <c r="E128" t="s">
        <v>270</v>
      </c>
      <c r="F128">
        <v>76.590400000000002</v>
      </c>
      <c r="G128">
        <v>2258.5196411927818</v>
      </c>
      <c r="H128">
        <v>5.96</v>
      </c>
      <c r="I128" s="3" t="str">
        <f>IF(OR(WEEKDAY(A128)=6,WEEKDAY(A128)=7,WEEKDAY(A128)=1),"Weekend","Weekday")</f>
        <v>Weekday</v>
      </c>
      <c r="J128" s="18">
        <v>23.7</v>
      </c>
      <c r="K128" s="2" t="s">
        <v>10</v>
      </c>
      <c r="L128" s="2" t="s">
        <v>11</v>
      </c>
      <c r="M128" s="2" t="s">
        <v>12</v>
      </c>
      <c r="N128" s="2" t="s">
        <v>13</v>
      </c>
      <c r="O128" s="2" t="s">
        <v>163</v>
      </c>
      <c r="P128" s="2" t="s">
        <v>34</v>
      </c>
    </row>
    <row r="129" spans="1:16" x14ac:dyDescent="0.25">
      <c r="A129" s="3">
        <v>45512</v>
      </c>
      <c r="B129" s="2" t="s">
        <v>96</v>
      </c>
      <c r="C129">
        <v>88.504999999999995</v>
      </c>
      <c r="D129" s="21">
        <v>2</v>
      </c>
      <c r="E129" t="s">
        <v>269</v>
      </c>
      <c r="F129">
        <v>61.6</v>
      </c>
      <c r="G129">
        <v>4510</v>
      </c>
      <c r="H129">
        <v>6.2</v>
      </c>
      <c r="I129" s="3" t="str">
        <f>IF(OR(WEEKDAY(A129)=6,WEEKDAY(A129)=7,WEEKDAY(A129)=1),"Weekend","Weekday")</f>
        <v>Weekday</v>
      </c>
      <c r="J129" s="18">
        <v>23.5</v>
      </c>
      <c r="K129" s="2" t="s">
        <v>10</v>
      </c>
      <c r="L129" s="2" t="s">
        <v>11</v>
      </c>
      <c r="M129" s="2" t="s">
        <v>12</v>
      </c>
      <c r="N129" s="2" t="s">
        <v>37</v>
      </c>
      <c r="O129" s="2" t="s">
        <v>97</v>
      </c>
      <c r="P129" s="2" t="s">
        <v>67</v>
      </c>
    </row>
    <row r="130" spans="1:16" x14ac:dyDescent="0.25">
      <c r="A130" s="3">
        <v>43480</v>
      </c>
      <c r="B130" s="2" t="s">
        <v>170</v>
      </c>
      <c r="C130">
        <v>32.21</v>
      </c>
      <c r="D130" s="21">
        <v>1</v>
      </c>
      <c r="E130" t="s">
        <v>269</v>
      </c>
      <c r="F130">
        <v>26.5883</v>
      </c>
      <c r="G130">
        <v>1683.9131358414124</v>
      </c>
      <c r="H130">
        <v>6.61</v>
      </c>
      <c r="I130" s="3" t="str">
        <f>IF(OR(WEEKDAY(A130)=6,WEEKDAY(A130)=7,WEEKDAY(A130)=1),"Weekend","Weekday")</f>
        <v>Weekday</v>
      </c>
      <c r="J130" s="18">
        <v>28</v>
      </c>
      <c r="K130" s="2" t="s">
        <v>193</v>
      </c>
      <c r="L130" s="2" t="s">
        <v>43</v>
      </c>
      <c r="M130" s="2" t="s">
        <v>12</v>
      </c>
      <c r="N130" s="2" t="s">
        <v>37</v>
      </c>
      <c r="O130" s="2" t="s">
        <v>226</v>
      </c>
      <c r="P130" s="2" t="s">
        <v>29</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EB7E7-C974-4FEE-B95B-98060B0BBA12}">
  <sheetPr filterMode="1"/>
  <dimension ref="A1:K827"/>
  <sheetViews>
    <sheetView workbookViewId="0">
      <selection activeCell="H2" sqref="A1:K223"/>
    </sheetView>
  </sheetViews>
  <sheetFormatPr defaultRowHeight="13.2" x14ac:dyDescent="0.25"/>
  <cols>
    <col min="1" max="1" width="13.6640625" style="9" customWidth="1"/>
    <col min="2" max="2" width="13.6640625" style="12" customWidth="1"/>
    <col min="3" max="4" width="24.5546875" style="9" customWidth="1"/>
    <col min="6" max="6" width="19.109375" customWidth="1"/>
    <col min="7" max="7" width="21.33203125" customWidth="1"/>
    <col min="8" max="8" width="23.77734375" customWidth="1"/>
    <col min="10" max="10" width="28.6640625" customWidth="1"/>
  </cols>
  <sheetData>
    <row r="1" spans="1:11" x14ac:dyDescent="0.25">
      <c r="A1" s="7" t="s">
        <v>0</v>
      </c>
      <c r="B1" s="10"/>
      <c r="C1" s="1" t="s">
        <v>1</v>
      </c>
      <c r="D1" s="1" t="s">
        <v>268</v>
      </c>
      <c r="E1" s="1" t="s">
        <v>2</v>
      </c>
      <c r="F1" s="1" t="s">
        <v>3</v>
      </c>
      <c r="G1" s="1" t="s">
        <v>4</v>
      </c>
      <c r="H1" s="1" t="s">
        <v>5</v>
      </c>
      <c r="I1" s="1" t="s">
        <v>6</v>
      </c>
      <c r="J1" s="1" t="s">
        <v>7</v>
      </c>
      <c r="K1" s="1" t="s">
        <v>8</v>
      </c>
    </row>
    <row r="2" spans="1:11" x14ac:dyDescent="0.25">
      <c r="A2" s="3">
        <v>42418</v>
      </c>
      <c r="B2" s="11"/>
      <c r="C2" s="2" t="s">
        <v>30</v>
      </c>
      <c r="D2" s="2"/>
      <c r="E2" s="2" t="s">
        <v>200</v>
      </c>
      <c r="F2" s="2" t="s">
        <v>11</v>
      </c>
      <c r="G2" s="2" t="s">
        <v>12</v>
      </c>
      <c r="H2" s="2" t="s">
        <v>31</v>
      </c>
      <c r="I2" s="2">
        <v>3</v>
      </c>
      <c r="J2" s="2"/>
      <c r="K2" s="2" t="s">
        <v>29</v>
      </c>
    </row>
    <row r="3" spans="1:11" x14ac:dyDescent="0.25">
      <c r="A3" s="3">
        <v>42461</v>
      </c>
      <c r="B3" s="11"/>
      <c r="C3" s="2" t="s">
        <v>255</v>
      </c>
      <c r="D3" s="2"/>
      <c r="E3" s="2" t="s">
        <v>200</v>
      </c>
      <c r="F3" s="2" t="s">
        <v>11</v>
      </c>
      <c r="G3" s="2" t="s">
        <v>12</v>
      </c>
      <c r="H3" s="2" t="s">
        <v>13</v>
      </c>
      <c r="I3" s="2"/>
      <c r="J3" s="2"/>
      <c r="K3" s="2" t="s">
        <v>17</v>
      </c>
    </row>
    <row r="4" spans="1:11" x14ac:dyDescent="0.25">
      <c r="A4" s="3">
        <v>42469</v>
      </c>
      <c r="B4" s="11"/>
      <c r="C4" s="2" t="s">
        <v>54</v>
      </c>
      <c r="D4" s="2"/>
      <c r="E4" s="2" t="s">
        <v>200</v>
      </c>
      <c r="F4" s="2" t="s">
        <v>11</v>
      </c>
      <c r="G4" s="2" t="s">
        <v>12</v>
      </c>
      <c r="H4" s="2" t="s">
        <v>31</v>
      </c>
      <c r="I4" s="2">
        <v>4</v>
      </c>
      <c r="J4" s="2" t="s">
        <v>258</v>
      </c>
      <c r="K4" s="2" t="s">
        <v>29</v>
      </c>
    </row>
    <row r="5" spans="1:11" x14ac:dyDescent="0.25">
      <c r="A5" s="3">
        <v>42501</v>
      </c>
      <c r="B5" s="11"/>
      <c r="C5" s="2" t="s">
        <v>30</v>
      </c>
      <c r="D5" s="2"/>
      <c r="E5" s="2" t="s">
        <v>200</v>
      </c>
      <c r="F5" s="2" t="s">
        <v>11</v>
      </c>
      <c r="G5" s="2" t="s">
        <v>12</v>
      </c>
      <c r="H5" s="2" t="s">
        <v>31</v>
      </c>
      <c r="I5" s="2"/>
      <c r="J5" s="2" t="s">
        <v>259</v>
      </c>
      <c r="K5" s="2" t="s">
        <v>29</v>
      </c>
    </row>
    <row r="6" spans="1:11" x14ac:dyDescent="0.25">
      <c r="A6" s="3">
        <v>42520</v>
      </c>
      <c r="B6" s="11"/>
      <c r="C6" s="2" t="s">
        <v>28</v>
      </c>
      <c r="D6" s="2"/>
      <c r="E6" s="2" t="s">
        <v>10</v>
      </c>
      <c r="F6" s="2" t="s">
        <v>11</v>
      </c>
      <c r="G6" s="2" t="s">
        <v>12</v>
      </c>
      <c r="H6" s="2" t="s">
        <v>37</v>
      </c>
      <c r="I6" s="2">
        <v>9</v>
      </c>
      <c r="J6" s="2" t="s">
        <v>260</v>
      </c>
      <c r="K6" s="2" t="s">
        <v>29</v>
      </c>
    </row>
    <row r="7" spans="1:11" x14ac:dyDescent="0.25">
      <c r="A7" s="3">
        <v>42566</v>
      </c>
      <c r="B7" s="11"/>
      <c r="C7" s="2" t="s">
        <v>9</v>
      </c>
      <c r="D7" s="2"/>
      <c r="E7" s="2" t="s">
        <v>200</v>
      </c>
      <c r="F7" s="2" t="s">
        <v>11</v>
      </c>
      <c r="G7" s="2" t="s">
        <v>12</v>
      </c>
      <c r="H7" s="2" t="s">
        <v>26</v>
      </c>
      <c r="I7" s="2"/>
      <c r="J7" s="2" t="s">
        <v>261</v>
      </c>
      <c r="K7" s="2" t="s">
        <v>15</v>
      </c>
    </row>
    <row r="8" spans="1:11" hidden="1" x14ac:dyDescent="0.25">
      <c r="A8" s="3">
        <v>42570</v>
      </c>
      <c r="B8" s="11"/>
      <c r="C8" s="2" t="s">
        <v>102</v>
      </c>
      <c r="D8" s="2"/>
      <c r="E8" s="2" t="s">
        <v>200</v>
      </c>
      <c r="F8" s="2" t="s">
        <v>11</v>
      </c>
      <c r="G8" s="2" t="s">
        <v>12</v>
      </c>
      <c r="H8" s="2" t="s">
        <v>14</v>
      </c>
      <c r="I8" s="2">
        <v>0</v>
      </c>
      <c r="J8" s="2"/>
      <c r="K8" s="2" t="s">
        <v>67</v>
      </c>
    </row>
    <row r="9" spans="1:11" hidden="1" x14ac:dyDescent="0.25">
      <c r="A9" s="3">
        <v>42582</v>
      </c>
      <c r="B9" s="11"/>
      <c r="C9" s="2" t="s">
        <v>76</v>
      </c>
      <c r="D9" s="2"/>
      <c r="E9" s="2" t="s">
        <v>200</v>
      </c>
      <c r="F9" s="2" t="s">
        <v>11</v>
      </c>
      <c r="G9" s="2" t="s">
        <v>19</v>
      </c>
      <c r="H9" s="2" t="s">
        <v>19</v>
      </c>
      <c r="I9" s="2">
        <v>11</v>
      </c>
      <c r="J9" s="2"/>
      <c r="K9" s="2" t="s">
        <v>15</v>
      </c>
    </row>
    <row r="10" spans="1:11" x14ac:dyDescent="0.25">
      <c r="A10" s="3">
        <v>42600</v>
      </c>
      <c r="B10" s="11"/>
      <c r="C10" s="2" t="s">
        <v>217</v>
      </c>
      <c r="D10" s="2"/>
      <c r="E10" s="2" t="s">
        <v>200</v>
      </c>
      <c r="F10" s="2" t="s">
        <v>11</v>
      </c>
      <c r="G10" s="2" t="s">
        <v>12</v>
      </c>
      <c r="H10" s="2" t="s">
        <v>37</v>
      </c>
      <c r="I10" s="2"/>
      <c r="J10" s="2" t="s">
        <v>262</v>
      </c>
      <c r="K10" s="2" t="s">
        <v>29</v>
      </c>
    </row>
    <row r="11" spans="1:11" x14ac:dyDescent="0.25">
      <c r="A11" s="3">
        <v>42628</v>
      </c>
      <c r="B11" s="11"/>
      <c r="C11" s="2" t="s">
        <v>16</v>
      </c>
      <c r="D11" s="2"/>
      <c r="E11" s="2" t="s">
        <v>10</v>
      </c>
      <c r="F11" s="2" t="s">
        <v>11</v>
      </c>
      <c r="G11" s="2" t="s">
        <v>12</v>
      </c>
      <c r="H11" s="2" t="s">
        <v>13</v>
      </c>
      <c r="I11" s="2"/>
      <c r="J11" s="2" t="s">
        <v>119</v>
      </c>
      <c r="K11" s="2" t="s">
        <v>17</v>
      </c>
    </row>
    <row r="12" spans="1:11" x14ac:dyDescent="0.25">
      <c r="A12" s="3">
        <v>42651</v>
      </c>
      <c r="B12" s="11"/>
      <c r="C12" s="2" t="s">
        <v>9</v>
      </c>
      <c r="D12" s="2"/>
      <c r="E12" s="2" t="s">
        <v>10</v>
      </c>
      <c r="F12" s="2" t="s">
        <v>11</v>
      </c>
      <c r="G12" s="2" t="s">
        <v>12</v>
      </c>
      <c r="H12" s="2" t="s">
        <v>13</v>
      </c>
      <c r="I12" s="2">
        <v>2</v>
      </c>
      <c r="J12" s="2" t="s">
        <v>263</v>
      </c>
      <c r="K12" s="2" t="s">
        <v>15</v>
      </c>
    </row>
    <row r="13" spans="1:11" x14ac:dyDescent="0.25">
      <c r="A13" s="8">
        <v>42659</v>
      </c>
      <c r="C13" s="2" t="s">
        <v>264</v>
      </c>
      <c r="D13" s="2"/>
      <c r="E13" s="2" t="s">
        <v>10</v>
      </c>
      <c r="F13" s="2" t="s">
        <v>11</v>
      </c>
      <c r="G13" s="2" t="s">
        <v>12</v>
      </c>
      <c r="H13" s="2" t="s">
        <v>31</v>
      </c>
      <c r="I13" s="2"/>
      <c r="J13" s="2"/>
      <c r="K13" s="2" t="s">
        <v>235</v>
      </c>
    </row>
    <row r="14" spans="1:11" hidden="1" x14ac:dyDescent="0.25">
      <c r="A14" s="8">
        <v>42669</v>
      </c>
      <c r="C14" s="2" t="s">
        <v>9</v>
      </c>
      <c r="D14" s="2"/>
      <c r="E14" s="2" t="s">
        <v>200</v>
      </c>
      <c r="F14" s="2" t="s">
        <v>11</v>
      </c>
      <c r="G14" s="2" t="s">
        <v>19</v>
      </c>
      <c r="H14" s="2" t="s">
        <v>37</v>
      </c>
      <c r="I14" s="2">
        <v>5</v>
      </c>
      <c r="J14" s="2" t="s">
        <v>265</v>
      </c>
      <c r="K14" s="2" t="s">
        <v>15</v>
      </c>
    </row>
    <row r="15" spans="1:11" hidden="1" x14ac:dyDescent="0.25">
      <c r="A15" s="8">
        <v>42671</v>
      </c>
      <c r="C15" s="2" t="s">
        <v>18</v>
      </c>
      <c r="D15" s="2"/>
      <c r="E15" s="2" t="s">
        <v>10</v>
      </c>
      <c r="F15" s="2" t="s">
        <v>11</v>
      </c>
      <c r="G15" s="2" t="s">
        <v>19</v>
      </c>
      <c r="H15" s="2" t="s">
        <v>13</v>
      </c>
      <c r="I15" s="2"/>
      <c r="J15" s="2" t="s">
        <v>120</v>
      </c>
      <c r="K15" s="2" t="s">
        <v>15</v>
      </c>
    </row>
    <row r="16" spans="1:11" x14ac:dyDescent="0.25">
      <c r="A16" s="8">
        <v>42704</v>
      </c>
      <c r="C16" s="2" t="s">
        <v>266</v>
      </c>
      <c r="D16" s="2"/>
      <c r="E16" s="2" t="s">
        <v>200</v>
      </c>
      <c r="F16" s="2" t="s">
        <v>11</v>
      </c>
      <c r="G16" s="2" t="s">
        <v>12</v>
      </c>
      <c r="H16" s="2" t="s">
        <v>31</v>
      </c>
      <c r="I16" s="2">
        <v>2</v>
      </c>
      <c r="J16" s="2" t="s">
        <v>267</v>
      </c>
      <c r="K16" s="2" t="s">
        <v>29</v>
      </c>
    </row>
    <row r="17" spans="1:11" hidden="1" x14ac:dyDescent="0.25">
      <c r="A17" s="8">
        <v>42723</v>
      </c>
      <c r="C17" s="2" t="s">
        <v>219</v>
      </c>
      <c r="D17" s="2"/>
      <c r="E17" s="2" t="s">
        <v>200</v>
      </c>
      <c r="F17" s="2" t="s">
        <v>11</v>
      </c>
      <c r="G17" s="2" t="s">
        <v>12</v>
      </c>
      <c r="H17" s="2" t="s">
        <v>19</v>
      </c>
      <c r="I17" s="2"/>
      <c r="J17" s="2"/>
      <c r="K17" s="2" t="s">
        <v>15</v>
      </c>
    </row>
    <row r="18" spans="1:11" x14ac:dyDescent="0.25">
      <c r="A18" s="3">
        <v>42736</v>
      </c>
      <c r="B18" s="11"/>
      <c r="C18" s="2" t="s">
        <v>223</v>
      </c>
      <c r="D18" s="2"/>
      <c r="E18" s="2" t="s">
        <v>10</v>
      </c>
      <c r="F18" s="2" t="s">
        <v>11</v>
      </c>
      <c r="G18" s="2" t="s">
        <v>12</v>
      </c>
      <c r="H18" s="2" t="s">
        <v>37</v>
      </c>
      <c r="I18" s="2">
        <v>-363</v>
      </c>
      <c r="J18" s="2" t="s">
        <v>247</v>
      </c>
      <c r="K18" s="2" t="s">
        <v>29</v>
      </c>
    </row>
    <row r="19" spans="1:11" hidden="1" x14ac:dyDescent="0.25">
      <c r="A19" s="3">
        <v>42775</v>
      </c>
      <c r="B19" s="11"/>
      <c r="C19" s="2" t="s">
        <v>20</v>
      </c>
      <c r="D19" s="2"/>
      <c r="E19" s="2" t="s">
        <v>10</v>
      </c>
      <c r="F19" s="2" t="s">
        <v>11</v>
      </c>
      <c r="G19" s="2" t="s">
        <v>19</v>
      </c>
      <c r="H19" s="2" t="s">
        <v>13</v>
      </c>
      <c r="I19" s="2"/>
      <c r="J19" s="2" t="s">
        <v>121</v>
      </c>
      <c r="K19" s="2" t="s">
        <v>15</v>
      </c>
    </row>
    <row r="20" spans="1:11" x14ac:dyDescent="0.25">
      <c r="A20" s="3">
        <v>42819</v>
      </c>
      <c r="B20" s="11"/>
      <c r="C20" s="2" t="s">
        <v>117</v>
      </c>
      <c r="D20" s="2"/>
      <c r="E20" s="2" t="s">
        <v>10</v>
      </c>
      <c r="F20" s="2" t="s">
        <v>11</v>
      </c>
      <c r="G20" s="2" t="s">
        <v>12</v>
      </c>
      <c r="H20" s="2" t="s">
        <v>37</v>
      </c>
      <c r="I20" s="2">
        <v>0</v>
      </c>
      <c r="J20" s="2" t="s">
        <v>249</v>
      </c>
      <c r="K20" s="2" t="s">
        <v>34</v>
      </c>
    </row>
    <row r="21" spans="1:11" x14ac:dyDescent="0.25">
      <c r="A21" s="3">
        <v>42853</v>
      </c>
      <c r="B21" s="11"/>
      <c r="C21" s="2" t="s">
        <v>21</v>
      </c>
      <c r="D21" s="2"/>
      <c r="E21" s="2" t="s">
        <v>10</v>
      </c>
      <c r="F21" s="2" t="s">
        <v>11</v>
      </c>
      <c r="G21" s="2" t="s">
        <v>99</v>
      </c>
      <c r="H21" s="2" t="s">
        <v>31</v>
      </c>
      <c r="I21" s="2"/>
      <c r="J21" s="2" t="s">
        <v>250</v>
      </c>
      <c r="K21" s="2" t="s">
        <v>15</v>
      </c>
    </row>
    <row r="22" spans="1:11" hidden="1" x14ac:dyDescent="0.25">
      <c r="A22" s="3">
        <v>42867</v>
      </c>
      <c r="B22" s="11"/>
      <c r="C22" s="2" t="s">
        <v>21</v>
      </c>
      <c r="D22" s="2"/>
      <c r="E22" s="2" t="s">
        <v>10</v>
      </c>
      <c r="F22" s="2" t="s">
        <v>11</v>
      </c>
      <c r="G22" s="2" t="s">
        <v>19</v>
      </c>
      <c r="H22" s="2" t="s">
        <v>13</v>
      </c>
      <c r="I22" s="2"/>
      <c r="J22" s="2" t="s">
        <v>122</v>
      </c>
      <c r="K22" s="2" t="s">
        <v>15</v>
      </c>
    </row>
    <row r="23" spans="1:11" hidden="1" x14ac:dyDescent="0.25">
      <c r="A23" s="3">
        <v>42870</v>
      </c>
      <c r="B23" s="11"/>
      <c r="C23" s="2" t="s">
        <v>64</v>
      </c>
      <c r="D23" s="2"/>
      <c r="E23" s="2" t="s">
        <v>10</v>
      </c>
      <c r="F23" s="2" t="s">
        <v>11</v>
      </c>
      <c r="G23" s="2" t="s">
        <v>12</v>
      </c>
      <c r="H23" s="2" t="s">
        <v>19</v>
      </c>
      <c r="I23" s="2"/>
      <c r="J23" s="2" t="s">
        <v>251</v>
      </c>
      <c r="K23" s="2" t="s">
        <v>34</v>
      </c>
    </row>
    <row r="24" spans="1:11" hidden="1" x14ac:dyDescent="0.25">
      <c r="A24" s="3">
        <v>42885</v>
      </c>
      <c r="B24" s="11"/>
      <c r="C24" s="2" t="s">
        <v>76</v>
      </c>
      <c r="D24" s="2"/>
      <c r="E24" s="2" t="s">
        <v>200</v>
      </c>
      <c r="F24" s="2" t="s">
        <v>11</v>
      </c>
      <c r="G24" s="2" t="s">
        <v>19</v>
      </c>
      <c r="H24" s="2" t="s">
        <v>62</v>
      </c>
      <c r="I24" s="2">
        <v>14</v>
      </c>
      <c r="J24" s="2" t="s">
        <v>248</v>
      </c>
      <c r="K24" s="2" t="s">
        <v>15</v>
      </c>
    </row>
    <row r="25" spans="1:11" x14ac:dyDescent="0.25">
      <c r="A25" s="3">
        <v>42885</v>
      </c>
      <c r="B25" s="11"/>
      <c r="C25" s="2" t="s">
        <v>28</v>
      </c>
      <c r="D25" s="2"/>
      <c r="E25" s="2" t="s">
        <v>10</v>
      </c>
      <c r="F25" s="2" t="s">
        <v>11</v>
      </c>
      <c r="G25" s="2" t="s">
        <v>12</v>
      </c>
      <c r="H25" s="2" t="s">
        <v>37</v>
      </c>
      <c r="I25" s="2">
        <v>9</v>
      </c>
      <c r="J25" s="2" t="s">
        <v>252</v>
      </c>
      <c r="K25" s="2" t="s">
        <v>29</v>
      </c>
    </row>
    <row r="26" spans="1:11" hidden="1" x14ac:dyDescent="0.25">
      <c r="A26" s="3">
        <v>42898</v>
      </c>
      <c r="B26" s="11"/>
      <c r="C26" s="2" t="s">
        <v>79</v>
      </c>
      <c r="D26" s="2"/>
      <c r="E26" s="2" t="s">
        <v>10</v>
      </c>
      <c r="F26" s="2" t="s">
        <v>11</v>
      </c>
      <c r="G26" s="2" t="s">
        <v>12</v>
      </c>
      <c r="H26" s="2" t="s">
        <v>19</v>
      </c>
      <c r="I26" s="2">
        <v>7</v>
      </c>
      <c r="J26" s="2" t="s">
        <v>253</v>
      </c>
      <c r="K26" s="2" t="s">
        <v>15</v>
      </c>
    </row>
    <row r="27" spans="1:11" hidden="1" x14ac:dyDescent="0.25">
      <c r="A27" s="3">
        <v>42927</v>
      </c>
      <c r="B27" s="11"/>
      <c r="C27" s="2" t="s">
        <v>38</v>
      </c>
      <c r="D27" s="2"/>
      <c r="E27" s="2" t="s">
        <v>10</v>
      </c>
      <c r="F27" s="2" t="s">
        <v>11</v>
      </c>
      <c r="G27" s="2" t="s">
        <v>12</v>
      </c>
      <c r="H27" s="2" t="s">
        <v>19</v>
      </c>
      <c r="I27" s="2"/>
      <c r="J27" s="2" t="s">
        <v>254</v>
      </c>
      <c r="K27" s="2" t="s">
        <v>17</v>
      </c>
    </row>
    <row r="28" spans="1:11" x14ac:dyDescent="0.25">
      <c r="A28" s="3">
        <v>42944</v>
      </c>
      <c r="B28" s="11"/>
      <c r="C28" s="2" t="s">
        <v>76</v>
      </c>
      <c r="D28" s="2"/>
      <c r="E28" s="2" t="s">
        <v>200</v>
      </c>
      <c r="F28" s="2" t="s">
        <v>11</v>
      </c>
      <c r="G28" s="2" t="s">
        <v>12</v>
      </c>
      <c r="H28" s="2" t="s">
        <v>62</v>
      </c>
      <c r="I28" s="2">
        <v>15</v>
      </c>
      <c r="J28" s="2"/>
      <c r="K28" s="2" t="s">
        <v>15</v>
      </c>
    </row>
    <row r="29" spans="1:11" x14ac:dyDescent="0.25">
      <c r="A29" s="3">
        <v>43035</v>
      </c>
      <c r="B29" s="11"/>
      <c r="C29" s="2" t="s">
        <v>90</v>
      </c>
      <c r="D29" s="2"/>
      <c r="E29" s="2" t="s">
        <v>200</v>
      </c>
      <c r="F29" s="2" t="s">
        <v>11</v>
      </c>
      <c r="G29" s="2" t="s">
        <v>12</v>
      </c>
      <c r="H29" s="2" t="s">
        <v>31</v>
      </c>
      <c r="I29" s="2">
        <v>15</v>
      </c>
      <c r="J29" s="2"/>
      <c r="K29" s="2" t="s">
        <v>29</v>
      </c>
    </row>
    <row r="30" spans="1:11" x14ac:dyDescent="0.25">
      <c r="A30" s="3">
        <v>43051</v>
      </c>
      <c r="B30" s="11"/>
      <c r="C30" s="2" t="s">
        <v>90</v>
      </c>
      <c r="D30" s="2"/>
      <c r="E30" s="2" t="s">
        <v>200</v>
      </c>
      <c r="F30" s="2" t="s">
        <v>11</v>
      </c>
      <c r="G30" s="2" t="s">
        <v>12</v>
      </c>
      <c r="H30" s="2" t="s">
        <v>31</v>
      </c>
      <c r="I30" s="2"/>
      <c r="J30" s="2" t="s">
        <v>256</v>
      </c>
      <c r="K30" s="2" t="s">
        <v>29</v>
      </c>
    </row>
    <row r="31" spans="1:11" hidden="1" x14ac:dyDescent="0.25">
      <c r="A31" s="3">
        <v>43099</v>
      </c>
      <c r="B31" s="11"/>
      <c r="C31" s="2" t="s">
        <v>21</v>
      </c>
      <c r="D31" s="2"/>
      <c r="E31" s="2" t="s">
        <v>10</v>
      </c>
      <c r="F31" s="2" t="s">
        <v>11</v>
      </c>
      <c r="G31" s="2" t="s">
        <v>19</v>
      </c>
      <c r="H31" s="2" t="s">
        <v>37</v>
      </c>
      <c r="I31" s="2">
        <v>14</v>
      </c>
      <c r="J31" s="2" t="s">
        <v>257</v>
      </c>
      <c r="K31" s="2" t="s">
        <v>15</v>
      </c>
    </row>
    <row r="32" spans="1:11" hidden="1" x14ac:dyDescent="0.25">
      <c r="A32" s="3">
        <v>42775</v>
      </c>
      <c r="B32" s="11"/>
      <c r="C32" s="2" t="s">
        <v>20</v>
      </c>
      <c r="D32" s="2"/>
      <c r="E32" s="2" t="s">
        <v>10</v>
      </c>
      <c r="F32" s="2" t="s">
        <v>11</v>
      </c>
      <c r="G32" s="2" t="s">
        <v>19</v>
      </c>
      <c r="H32" s="2" t="s">
        <v>13</v>
      </c>
      <c r="I32" s="2"/>
      <c r="J32" s="2" t="s">
        <v>121</v>
      </c>
      <c r="K32" s="2" t="s">
        <v>15</v>
      </c>
    </row>
    <row r="33" spans="1:11" hidden="1" x14ac:dyDescent="0.25">
      <c r="A33" s="3">
        <v>42867</v>
      </c>
      <c r="B33" s="11"/>
      <c r="C33" s="2" t="s">
        <v>21</v>
      </c>
      <c r="D33" s="2"/>
      <c r="E33" s="2" t="s">
        <v>10</v>
      </c>
      <c r="F33" s="2" t="s">
        <v>11</v>
      </c>
      <c r="G33" s="2" t="s">
        <v>19</v>
      </c>
      <c r="H33" s="2" t="s">
        <v>13</v>
      </c>
      <c r="I33" s="2"/>
      <c r="J33" s="2" t="s">
        <v>122</v>
      </c>
      <c r="K33" s="2" t="s">
        <v>15</v>
      </c>
    </row>
    <row r="34" spans="1:11" x14ac:dyDescent="0.25">
      <c r="A34" s="3">
        <v>43125</v>
      </c>
      <c r="B34" s="11"/>
      <c r="C34" s="2" t="s">
        <v>54</v>
      </c>
      <c r="D34" s="2"/>
      <c r="E34" s="2" t="s">
        <v>10</v>
      </c>
      <c r="F34" s="2" t="s">
        <v>11</v>
      </c>
      <c r="G34" s="2" t="s">
        <v>12</v>
      </c>
      <c r="H34" s="2" t="s">
        <v>37</v>
      </c>
      <c r="I34" s="2">
        <v>1</v>
      </c>
      <c r="J34" s="2"/>
      <c r="K34" s="2" t="s">
        <v>29</v>
      </c>
    </row>
    <row r="35" spans="1:11" x14ac:dyDescent="0.25">
      <c r="A35" s="3">
        <v>43156</v>
      </c>
      <c r="B35" s="11"/>
      <c r="C35" s="2" t="s">
        <v>223</v>
      </c>
      <c r="D35" s="2"/>
      <c r="E35" s="2" t="s">
        <v>10</v>
      </c>
      <c r="F35" s="2" t="s">
        <v>11</v>
      </c>
      <c r="G35" s="2" t="s">
        <v>12</v>
      </c>
      <c r="H35" s="2" t="s">
        <v>37</v>
      </c>
      <c r="I35" s="2">
        <v>0.42</v>
      </c>
      <c r="J35" s="2"/>
      <c r="K35" s="2" t="s">
        <v>29</v>
      </c>
    </row>
    <row r="36" spans="1:11" x14ac:dyDescent="0.25">
      <c r="A36" s="3">
        <v>43166</v>
      </c>
      <c r="B36" s="11"/>
      <c r="C36" s="2" t="s">
        <v>174</v>
      </c>
      <c r="D36" s="2"/>
      <c r="E36" s="2" t="s">
        <v>10</v>
      </c>
      <c r="F36" s="2" t="s">
        <v>11</v>
      </c>
      <c r="G36" s="2" t="s">
        <v>12</v>
      </c>
      <c r="H36" s="2" t="s">
        <v>49</v>
      </c>
      <c r="I36" s="2">
        <v>8</v>
      </c>
      <c r="J36" s="2"/>
      <c r="K36" s="2" t="s">
        <v>17</v>
      </c>
    </row>
    <row r="37" spans="1:11" x14ac:dyDescent="0.25">
      <c r="A37" s="3">
        <v>43187</v>
      </c>
      <c r="B37" s="11"/>
      <c r="C37" s="2" t="s">
        <v>54</v>
      </c>
      <c r="D37" s="2"/>
      <c r="E37" s="2" t="s">
        <v>10</v>
      </c>
      <c r="F37" s="2" t="s">
        <v>11</v>
      </c>
      <c r="G37" s="2" t="s">
        <v>12</v>
      </c>
      <c r="H37" s="2" t="s">
        <v>37</v>
      </c>
      <c r="I37" s="2"/>
      <c r="J37" s="2"/>
      <c r="K37" s="2" t="s">
        <v>29</v>
      </c>
    </row>
    <row r="38" spans="1:11" x14ac:dyDescent="0.25">
      <c r="A38" s="3">
        <v>43190</v>
      </c>
      <c r="B38" s="11"/>
      <c r="C38" s="2" t="s">
        <v>179</v>
      </c>
      <c r="D38" s="2"/>
      <c r="E38" s="2" t="s">
        <v>10</v>
      </c>
      <c r="F38" s="2" t="s">
        <v>11</v>
      </c>
      <c r="G38" s="2" t="s">
        <v>12</v>
      </c>
      <c r="H38" s="2" t="s">
        <v>13</v>
      </c>
      <c r="I38" s="2">
        <v>1</v>
      </c>
      <c r="J38" s="2"/>
      <c r="K38" s="2" t="s">
        <v>29</v>
      </c>
    </row>
    <row r="39" spans="1:11" x14ac:dyDescent="0.25">
      <c r="A39" s="3">
        <v>43203</v>
      </c>
      <c r="B39" s="11"/>
      <c r="C39" s="2" t="s">
        <v>32</v>
      </c>
      <c r="D39" s="2"/>
      <c r="E39" s="2" t="s">
        <v>10</v>
      </c>
      <c r="F39" s="2" t="s">
        <v>11</v>
      </c>
      <c r="G39" s="2" t="s">
        <v>103</v>
      </c>
      <c r="H39" s="2" t="s">
        <v>13</v>
      </c>
      <c r="I39" s="2"/>
      <c r="J39" s="2"/>
      <c r="K39" s="2" t="s">
        <v>34</v>
      </c>
    </row>
    <row r="40" spans="1:11" x14ac:dyDescent="0.25">
      <c r="A40" s="3">
        <v>43216</v>
      </c>
      <c r="B40" s="11"/>
      <c r="C40" s="2" t="s">
        <v>75</v>
      </c>
      <c r="D40" s="2"/>
      <c r="E40" s="2" t="s">
        <v>10</v>
      </c>
      <c r="F40" s="2" t="s">
        <v>11</v>
      </c>
      <c r="G40" s="2" t="s">
        <v>12</v>
      </c>
      <c r="H40" s="2" t="s">
        <v>13</v>
      </c>
      <c r="I40" s="2"/>
      <c r="J40" s="2"/>
      <c r="K40" s="2" t="s">
        <v>15</v>
      </c>
    </row>
    <row r="41" spans="1:11" x14ac:dyDescent="0.25">
      <c r="A41" s="3">
        <v>43217</v>
      </c>
      <c r="B41" s="11"/>
      <c r="C41" s="2" t="s">
        <v>16</v>
      </c>
      <c r="D41" s="2"/>
      <c r="E41" s="2" t="s">
        <v>10</v>
      </c>
      <c r="F41" s="2" t="s">
        <v>11</v>
      </c>
      <c r="G41" s="2" t="s">
        <v>12</v>
      </c>
      <c r="H41" s="2" t="s">
        <v>13</v>
      </c>
      <c r="I41" s="2"/>
      <c r="J41" s="2"/>
      <c r="K41" s="2" t="s">
        <v>17</v>
      </c>
    </row>
    <row r="42" spans="1:11" x14ac:dyDescent="0.25">
      <c r="A42" s="3">
        <v>43218</v>
      </c>
      <c r="B42" s="11"/>
      <c r="C42" s="2" t="s">
        <v>9</v>
      </c>
      <c r="D42" s="2"/>
      <c r="E42" s="2" t="s">
        <v>10</v>
      </c>
      <c r="F42" s="2" t="s">
        <v>11</v>
      </c>
      <c r="G42" s="2" t="s">
        <v>12</v>
      </c>
      <c r="H42" s="2" t="s">
        <v>13</v>
      </c>
      <c r="I42" s="2"/>
      <c r="J42" s="2"/>
      <c r="K42" s="2" t="s">
        <v>15</v>
      </c>
    </row>
    <row r="43" spans="1:11" hidden="1" x14ac:dyDescent="0.25">
      <c r="A43" s="3">
        <v>43231</v>
      </c>
      <c r="B43" s="11"/>
      <c r="C43" s="2" t="s">
        <v>75</v>
      </c>
      <c r="D43" s="2"/>
      <c r="E43" s="2" t="s">
        <v>10</v>
      </c>
      <c r="F43" s="2" t="s">
        <v>11</v>
      </c>
      <c r="G43" s="2" t="s">
        <v>19</v>
      </c>
      <c r="H43" s="2" t="s">
        <v>31</v>
      </c>
      <c r="I43" s="2">
        <v>0.25</v>
      </c>
      <c r="J43" s="2"/>
      <c r="K43" s="2" t="s">
        <v>15</v>
      </c>
    </row>
    <row r="44" spans="1:11" x14ac:dyDescent="0.25">
      <c r="A44" s="3">
        <v>43255</v>
      </c>
      <c r="B44" s="11"/>
      <c r="C44" s="2" t="s">
        <v>217</v>
      </c>
      <c r="D44" s="2"/>
      <c r="E44" s="2" t="s">
        <v>10</v>
      </c>
      <c r="F44" s="2" t="s">
        <v>11</v>
      </c>
      <c r="G44" s="2" t="s">
        <v>12</v>
      </c>
      <c r="H44" s="2" t="s">
        <v>31</v>
      </c>
      <c r="I44" s="2"/>
      <c r="J44" s="2"/>
      <c r="K44" s="2" t="s">
        <v>29</v>
      </c>
    </row>
    <row r="45" spans="1:11" x14ac:dyDescent="0.25">
      <c r="A45" s="3">
        <v>43293</v>
      </c>
      <c r="B45" s="11"/>
      <c r="C45" s="2" t="s">
        <v>75</v>
      </c>
      <c r="D45" s="2"/>
      <c r="E45" s="2" t="s">
        <v>10</v>
      </c>
      <c r="F45" s="2" t="s">
        <v>11</v>
      </c>
      <c r="G45" s="2" t="s">
        <v>12</v>
      </c>
      <c r="H45" s="2" t="s">
        <v>13</v>
      </c>
      <c r="I45" s="2">
        <v>1</v>
      </c>
      <c r="J45" s="2"/>
      <c r="K45" s="2" t="s">
        <v>15</v>
      </c>
    </row>
    <row r="46" spans="1:11" x14ac:dyDescent="0.25">
      <c r="A46" s="3">
        <v>43425</v>
      </c>
      <c r="B46" s="11"/>
      <c r="C46" s="2" t="s">
        <v>86</v>
      </c>
      <c r="D46" s="2"/>
      <c r="E46" s="2" t="s">
        <v>10</v>
      </c>
      <c r="F46" s="2" t="s">
        <v>11</v>
      </c>
      <c r="G46" s="2" t="s">
        <v>12</v>
      </c>
      <c r="H46" s="2" t="s">
        <v>13</v>
      </c>
      <c r="I46" s="2">
        <v>1</v>
      </c>
      <c r="J46" s="2"/>
      <c r="K46" s="2" t="s">
        <v>17</v>
      </c>
    </row>
    <row r="47" spans="1:11" x14ac:dyDescent="0.25">
      <c r="A47" s="3">
        <v>43455</v>
      </c>
      <c r="B47" s="11"/>
      <c r="C47" s="2" t="s">
        <v>50</v>
      </c>
      <c r="D47" s="2"/>
      <c r="E47" s="2" t="s">
        <v>10</v>
      </c>
      <c r="F47" s="2" t="s">
        <v>11</v>
      </c>
      <c r="G47" s="2" t="s">
        <v>12</v>
      </c>
      <c r="H47" s="2" t="s">
        <v>37</v>
      </c>
      <c r="I47" s="2">
        <v>61</v>
      </c>
      <c r="J47" s="2"/>
      <c r="K47" s="2" t="s">
        <v>15</v>
      </c>
    </row>
    <row r="48" spans="1:11" x14ac:dyDescent="0.25">
      <c r="A48" s="3">
        <v>43465</v>
      </c>
      <c r="B48" s="11"/>
      <c r="C48" s="2" t="s">
        <v>223</v>
      </c>
      <c r="D48" s="2"/>
      <c r="E48" s="2" t="s">
        <v>10</v>
      </c>
      <c r="F48" s="2" t="s">
        <v>11</v>
      </c>
      <c r="G48" s="2" t="s">
        <v>12</v>
      </c>
      <c r="H48" s="2" t="s">
        <v>31</v>
      </c>
      <c r="I48" s="2">
        <v>20</v>
      </c>
      <c r="J48" s="2"/>
      <c r="K48" s="2" t="s">
        <v>29</v>
      </c>
    </row>
    <row r="49" spans="1:11" x14ac:dyDescent="0.25">
      <c r="A49" s="3">
        <v>43465</v>
      </c>
      <c r="B49" s="11"/>
      <c r="C49" s="2" t="s">
        <v>223</v>
      </c>
      <c r="D49" s="2"/>
      <c r="E49" s="2" t="s">
        <v>193</v>
      </c>
      <c r="F49" s="2" t="s">
        <v>11</v>
      </c>
      <c r="G49" s="2" t="s">
        <v>12</v>
      </c>
      <c r="H49" s="2" t="s">
        <v>31</v>
      </c>
      <c r="I49" s="5"/>
      <c r="J49" s="5"/>
      <c r="K49" s="5" t="s">
        <v>29</v>
      </c>
    </row>
    <row r="50" spans="1:11" x14ac:dyDescent="0.25">
      <c r="A50" s="3">
        <v>43187</v>
      </c>
      <c r="B50" s="11"/>
      <c r="C50" s="2" t="s">
        <v>54</v>
      </c>
      <c r="D50" s="2"/>
      <c r="E50" s="2" t="s">
        <v>193</v>
      </c>
      <c r="F50" s="2" t="s">
        <v>11</v>
      </c>
      <c r="G50" s="2" t="s">
        <v>12</v>
      </c>
      <c r="H50" s="2" t="s">
        <v>37</v>
      </c>
      <c r="I50" s="2">
        <v>472</v>
      </c>
      <c r="J50" s="2" t="s">
        <v>220</v>
      </c>
      <c r="K50" s="2" t="s">
        <v>29</v>
      </c>
    </row>
    <row r="51" spans="1:11" x14ac:dyDescent="0.25">
      <c r="A51" s="3">
        <v>43454</v>
      </c>
      <c r="B51" s="11"/>
      <c r="C51" s="2" t="s">
        <v>36</v>
      </c>
      <c r="D51" s="2"/>
      <c r="E51" s="2" t="s">
        <v>193</v>
      </c>
      <c r="F51" s="2" t="s">
        <v>33</v>
      </c>
      <c r="G51" s="2" t="s">
        <v>12</v>
      </c>
      <c r="H51" s="2" t="s">
        <v>37</v>
      </c>
      <c r="I51" s="2">
        <v>21</v>
      </c>
      <c r="J51" s="2" t="s">
        <v>221</v>
      </c>
      <c r="K51" s="2" t="s">
        <v>15</v>
      </c>
    </row>
    <row r="52" spans="1:11" x14ac:dyDescent="0.25">
      <c r="A52" s="3">
        <v>43455</v>
      </c>
      <c r="B52" s="11"/>
      <c r="C52" s="2" t="s">
        <v>50</v>
      </c>
      <c r="D52" s="2"/>
      <c r="E52" s="2" t="s">
        <v>193</v>
      </c>
      <c r="F52" s="2" t="s">
        <v>11</v>
      </c>
      <c r="G52" s="2" t="s">
        <v>12</v>
      </c>
      <c r="H52" s="2" t="s">
        <v>37</v>
      </c>
      <c r="I52" s="2">
        <v>67</v>
      </c>
      <c r="J52" s="2" t="s">
        <v>222</v>
      </c>
      <c r="K52" s="2" t="s">
        <v>15</v>
      </c>
    </row>
    <row r="53" spans="1:11" x14ac:dyDescent="0.25">
      <c r="A53" s="3">
        <v>43465</v>
      </c>
      <c r="B53" s="11"/>
      <c r="C53" s="2" t="s">
        <v>223</v>
      </c>
      <c r="D53" s="2"/>
      <c r="E53" s="2" t="s">
        <v>193</v>
      </c>
      <c r="F53" s="2" t="s">
        <v>11</v>
      </c>
      <c r="G53" s="2" t="s">
        <v>12</v>
      </c>
      <c r="H53" s="2" t="s">
        <v>31</v>
      </c>
      <c r="I53" s="2">
        <v>20</v>
      </c>
      <c r="J53" s="2" t="s">
        <v>224</v>
      </c>
      <c r="K53" s="2" t="s">
        <v>29</v>
      </c>
    </row>
    <row r="54" spans="1:11" x14ac:dyDescent="0.25">
      <c r="A54" s="3">
        <v>43472</v>
      </c>
      <c r="B54" s="11"/>
      <c r="C54" s="2" t="s">
        <v>152</v>
      </c>
      <c r="D54" s="2"/>
      <c r="E54" s="2" t="s">
        <v>193</v>
      </c>
      <c r="F54" s="2" t="s">
        <v>11</v>
      </c>
      <c r="G54" s="2" t="s">
        <v>12</v>
      </c>
      <c r="H54" s="2" t="s">
        <v>62</v>
      </c>
      <c r="I54" s="2">
        <v>1</v>
      </c>
      <c r="J54" s="2" t="s">
        <v>225</v>
      </c>
      <c r="K54" s="2" t="s">
        <v>29</v>
      </c>
    </row>
    <row r="55" spans="1:11" x14ac:dyDescent="0.25">
      <c r="A55" s="3">
        <v>43480</v>
      </c>
      <c r="B55" s="11"/>
      <c r="C55" s="2" t="s">
        <v>170</v>
      </c>
      <c r="D55" s="2"/>
      <c r="E55" s="2" t="s">
        <v>193</v>
      </c>
      <c r="F55" s="2" t="s">
        <v>43</v>
      </c>
      <c r="G55" s="2" t="s">
        <v>12</v>
      </c>
      <c r="H55" s="2" t="s">
        <v>37</v>
      </c>
      <c r="I55" s="2">
        <v>9</v>
      </c>
      <c r="J55" s="2" t="s">
        <v>226</v>
      </c>
      <c r="K55" s="2" t="s">
        <v>29</v>
      </c>
    </row>
    <row r="56" spans="1:11" hidden="1" x14ac:dyDescent="0.25">
      <c r="A56" s="3">
        <v>43486</v>
      </c>
      <c r="B56" s="11"/>
      <c r="C56" s="2" t="s">
        <v>156</v>
      </c>
      <c r="D56" s="2"/>
      <c r="E56" s="2" t="s">
        <v>193</v>
      </c>
      <c r="F56" s="2" t="s">
        <v>11</v>
      </c>
      <c r="G56" s="2" t="s">
        <v>19</v>
      </c>
      <c r="H56" s="2" t="s">
        <v>37</v>
      </c>
      <c r="I56" s="2" t="s">
        <v>227</v>
      </c>
      <c r="J56" s="2"/>
      <c r="K56" s="2" t="s">
        <v>67</v>
      </c>
    </row>
    <row r="57" spans="1:11" hidden="1" x14ac:dyDescent="0.25">
      <c r="A57" s="3">
        <v>43490</v>
      </c>
      <c r="B57" s="11"/>
      <c r="C57" s="2" t="s">
        <v>156</v>
      </c>
      <c r="D57" s="2"/>
      <c r="E57" s="2" t="s">
        <v>193</v>
      </c>
      <c r="F57" s="2" t="s">
        <v>11</v>
      </c>
      <c r="G57" s="2" t="s">
        <v>19</v>
      </c>
      <c r="H57" s="2" t="s">
        <v>19</v>
      </c>
      <c r="I57" s="2"/>
      <c r="J57" s="2"/>
      <c r="K57" s="2" t="s">
        <v>67</v>
      </c>
    </row>
    <row r="58" spans="1:11" hidden="1" x14ac:dyDescent="0.25">
      <c r="A58" s="3">
        <v>43491</v>
      </c>
      <c r="B58" s="11"/>
      <c r="C58" s="2" t="s">
        <v>156</v>
      </c>
      <c r="D58" s="2"/>
      <c r="E58" s="2" t="s">
        <v>193</v>
      </c>
      <c r="F58" s="2" t="s">
        <v>11</v>
      </c>
      <c r="G58" s="2" t="s">
        <v>19</v>
      </c>
      <c r="H58" s="2" t="s">
        <v>13</v>
      </c>
      <c r="I58" s="2"/>
      <c r="J58" s="2"/>
      <c r="K58" s="2" t="s">
        <v>67</v>
      </c>
    </row>
    <row r="59" spans="1:11" x14ac:dyDescent="0.25">
      <c r="A59" s="3">
        <v>43517</v>
      </c>
      <c r="B59" s="11"/>
      <c r="C59" s="2" t="s">
        <v>79</v>
      </c>
      <c r="D59" s="2"/>
      <c r="E59" s="2" t="s">
        <v>193</v>
      </c>
      <c r="F59" s="2" t="s">
        <v>11</v>
      </c>
      <c r="G59" s="2" t="s">
        <v>12</v>
      </c>
      <c r="H59" s="2" t="s">
        <v>37</v>
      </c>
      <c r="I59" s="2"/>
      <c r="J59" s="2"/>
      <c r="K59" s="2" t="s">
        <v>15</v>
      </c>
    </row>
    <row r="60" spans="1:11" x14ac:dyDescent="0.25">
      <c r="A60" s="3">
        <v>43518</v>
      </c>
      <c r="B60" s="11"/>
      <c r="C60" s="2" t="s">
        <v>79</v>
      </c>
      <c r="D60" s="2"/>
      <c r="E60" s="2" t="s">
        <v>193</v>
      </c>
      <c r="F60" s="2" t="s">
        <v>11</v>
      </c>
      <c r="G60" s="2" t="s">
        <v>12</v>
      </c>
      <c r="H60" s="2" t="s">
        <v>37</v>
      </c>
      <c r="I60" s="2">
        <v>1</v>
      </c>
      <c r="J60" s="2"/>
      <c r="K60" s="2" t="s">
        <v>15</v>
      </c>
    </row>
    <row r="61" spans="1:11" hidden="1" x14ac:dyDescent="0.25">
      <c r="A61" s="3">
        <v>43524</v>
      </c>
      <c r="B61" s="11"/>
      <c r="C61" s="2" t="s">
        <v>156</v>
      </c>
      <c r="D61" s="2"/>
      <c r="E61" s="2" t="s">
        <v>193</v>
      </c>
      <c r="F61" s="2" t="s">
        <v>11</v>
      </c>
      <c r="G61" s="2" t="s">
        <v>19</v>
      </c>
      <c r="H61" s="2" t="s">
        <v>13</v>
      </c>
      <c r="I61" s="2"/>
      <c r="J61" s="2"/>
      <c r="K61" s="2" t="s">
        <v>67</v>
      </c>
    </row>
    <row r="62" spans="1:11" hidden="1" x14ac:dyDescent="0.25">
      <c r="A62" s="3">
        <v>43527</v>
      </c>
      <c r="B62" s="11"/>
      <c r="C62" s="2" t="s">
        <v>156</v>
      </c>
      <c r="D62" s="2"/>
      <c r="E62" s="2" t="s">
        <v>193</v>
      </c>
      <c r="F62" s="2" t="s">
        <v>11</v>
      </c>
      <c r="G62" s="2" t="s">
        <v>19</v>
      </c>
      <c r="H62" s="2" t="s">
        <v>13</v>
      </c>
      <c r="I62" s="2"/>
      <c r="J62" s="2"/>
      <c r="K62" s="2" t="s">
        <v>67</v>
      </c>
    </row>
    <row r="63" spans="1:11" x14ac:dyDescent="0.25">
      <c r="A63" s="3">
        <v>43576</v>
      </c>
      <c r="B63" s="11"/>
      <c r="C63" s="2" t="s">
        <v>174</v>
      </c>
      <c r="D63" s="2"/>
      <c r="E63" s="2" t="s">
        <v>193</v>
      </c>
      <c r="F63" s="2" t="s">
        <v>11</v>
      </c>
      <c r="G63" s="2" t="s">
        <v>12</v>
      </c>
      <c r="H63" s="2" t="s">
        <v>13</v>
      </c>
      <c r="I63" s="2">
        <v>9</v>
      </c>
      <c r="J63" s="2" t="s">
        <v>228</v>
      </c>
      <c r="K63" s="2" t="s">
        <v>17</v>
      </c>
    </row>
    <row r="64" spans="1:11" hidden="1" x14ac:dyDescent="0.25">
      <c r="A64" s="6">
        <v>43578</v>
      </c>
      <c r="B64" s="11"/>
      <c r="C64" s="2" t="s">
        <v>164</v>
      </c>
      <c r="D64" s="2"/>
      <c r="E64" s="2" t="s">
        <v>193</v>
      </c>
      <c r="F64" s="2" t="s">
        <v>19</v>
      </c>
      <c r="G64" s="2" t="s">
        <v>12</v>
      </c>
      <c r="H64" s="2" t="s">
        <v>19</v>
      </c>
      <c r="I64" s="2">
        <v>15</v>
      </c>
      <c r="J64" s="2" t="s">
        <v>229</v>
      </c>
      <c r="K64" s="2" t="s">
        <v>34</v>
      </c>
    </row>
    <row r="65" spans="1:11" x14ac:dyDescent="0.25">
      <c r="A65" s="3">
        <v>43582</v>
      </c>
      <c r="B65" s="11"/>
      <c r="C65" s="2" t="s">
        <v>230</v>
      </c>
      <c r="D65" s="2"/>
      <c r="E65" s="2" t="s">
        <v>193</v>
      </c>
      <c r="F65" s="2" t="s">
        <v>11</v>
      </c>
      <c r="G65" s="2" t="s">
        <v>12</v>
      </c>
      <c r="H65" s="2" t="s">
        <v>31</v>
      </c>
      <c r="I65" s="2">
        <v>2</v>
      </c>
      <c r="J65" s="2" t="s">
        <v>231</v>
      </c>
      <c r="K65" s="2" t="s">
        <v>29</v>
      </c>
    </row>
    <row r="66" spans="1:11" hidden="1" x14ac:dyDescent="0.25">
      <c r="A66" s="3">
        <v>43582</v>
      </c>
      <c r="B66" s="11"/>
      <c r="C66" s="2" t="s">
        <v>156</v>
      </c>
      <c r="D66" s="2"/>
      <c r="E66" s="2" t="s">
        <v>193</v>
      </c>
      <c r="F66" s="2" t="s">
        <v>11</v>
      </c>
      <c r="G66" s="2" t="s">
        <v>19</v>
      </c>
      <c r="H66" s="2" t="s">
        <v>13</v>
      </c>
      <c r="I66" s="2"/>
      <c r="J66" s="2"/>
      <c r="K66" s="2" t="s">
        <v>67</v>
      </c>
    </row>
    <row r="67" spans="1:11" hidden="1" x14ac:dyDescent="0.25">
      <c r="A67" s="3">
        <v>43585</v>
      </c>
      <c r="B67" s="11"/>
      <c r="C67" s="2" t="s">
        <v>156</v>
      </c>
      <c r="D67" s="2"/>
      <c r="E67" s="2" t="s">
        <v>193</v>
      </c>
      <c r="F67" s="2" t="s">
        <v>11</v>
      </c>
      <c r="G67" s="2" t="s">
        <v>19</v>
      </c>
      <c r="H67" s="2" t="s">
        <v>13</v>
      </c>
      <c r="I67" s="2"/>
      <c r="J67" s="2"/>
      <c r="K67" s="2" t="s">
        <v>67</v>
      </c>
    </row>
    <row r="68" spans="1:11" x14ac:dyDescent="0.25">
      <c r="A68" s="3">
        <v>43586</v>
      </c>
      <c r="B68" s="11"/>
      <c r="C68" s="2" t="s">
        <v>230</v>
      </c>
      <c r="D68" s="2"/>
      <c r="E68" s="2" t="s">
        <v>193</v>
      </c>
      <c r="F68" s="2" t="s">
        <v>43</v>
      </c>
      <c r="G68" s="2" t="s">
        <v>12</v>
      </c>
      <c r="H68" s="2" t="s">
        <v>37</v>
      </c>
      <c r="I68" s="2">
        <v>1</v>
      </c>
      <c r="J68" s="2" t="s">
        <v>231</v>
      </c>
      <c r="K68" s="2" t="s">
        <v>29</v>
      </c>
    </row>
    <row r="69" spans="1:11" hidden="1" x14ac:dyDescent="0.25">
      <c r="A69" s="3">
        <v>43587</v>
      </c>
      <c r="B69" s="11"/>
      <c r="C69" s="2" t="s">
        <v>156</v>
      </c>
      <c r="D69" s="2"/>
      <c r="E69" s="2" t="s">
        <v>193</v>
      </c>
      <c r="F69" s="2" t="s">
        <v>11</v>
      </c>
      <c r="G69" s="2" t="s">
        <v>19</v>
      </c>
      <c r="H69" s="2" t="s">
        <v>13</v>
      </c>
      <c r="I69" s="2"/>
      <c r="J69" s="2"/>
      <c r="K69" s="2" t="s">
        <v>67</v>
      </c>
    </row>
    <row r="70" spans="1:11" x14ac:dyDescent="0.25">
      <c r="A70" s="3">
        <v>43590</v>
      </c>
      <c r="B70" s="11"/>
      <c r="C70" s="2" t="s">
        <v>174</v>
      </c>
      <c r="D70" s="2"/>
      <c r="E70" s="2" t="s">
        <v>193</v>
      </c>
      <c r="F70" s="2" t="s">
        <v>11</v>
      </c>
      <c r="G70" s="2" t="s">
        <v>12</v>
      </c>
      <c r="H70" s="2" t="s">
        <v>13</v>
      </c>
      <c r="I70" s="2">
        <v>1</v>
      </c>
      <c r="J70" s="2" t="s">
        <v>232</v>
      </c>
      <c r="K70" s="2" t="s">
        <v>17</v>
      </c>
    </row>
    <row r="71" spans="1:11" hidden="1" x14ac:dyDescent="0.25">
      <c r="A71" s="3">
        <v>43591</v>
      </c>
      <c r="B71" s="11"/>
      <c r="C71" s="2" t="s">
        <v>156</v>
      </c>
      <c r="D71" s="2"/>
      <c r="E71" s="2" t="s">
        <v>193</v>
      </c>
      <c r="F71" s="2" t="s">
        <v>11</v>
      </c>
      <c r="G71" s="2" t="s">
        <v>19</v>
      </c>
      <c r="H71" s="2" t="s">
        <v>13</v>
      </c>
      <c r="I71" s="2"/>
      <c r="J71" s="2"/>
      <c r="K71" s="2" t="s">
        <v>67</v>
      </c>
    </row>
    <row r="72" spans="1:11" x14ac:dyDescent="0.25">
      <c r="A72" s="3">
        <v>43594</v>
      </c>
      <c r="B72" s="11"/>
      <c r="C72" s="2" t="s">
        <v>74</v>
      </c>
      <c r="D72" s="2"/>
      <c r="E72" s="2" t="s">
        <v>193</v>
      </c>
      <c r="F72" s="2" t="s">
        <v>11</v>
      </c>
      <c r="G72" s="2" t="s">
        <v>12</v>
      </c>
      <c r="H72" s="2" t="s">
        <v>37</v>
      </c>
      <c r="I72" s="2">
        <v>10</v>
      </c>
      <c r="J72" s="2" t="s">
        <v>233</v>
      </c>
      <c r="K72" s="2" t="s">
        <v>34</v>
      </c>
    </row>
    <row r="73" spans="1:11" x14ac:dyDescent="0.25">
      <c r="A73" s="3">
        <v>43598</v>
      </c>
      <c r="B73" s="11"/>
      <c r="C73" s="2" t="s">
        <v>174</v>
      </c>
      <c r="D73" s="2"/>
      <c r="E73" s="2" t="s">
        <v>193</v>
      </c>
      <c r="F73" s="2" t="s">
        <v>11</v>
      </c>
      <c r="G73" s="2" t="s">
        <v>12</v>
      </c>
      <c r="H73" s="2" t="s">
        <v>49</v>
      </c>
      <c r="I73" s="2">
        <v>4</v>
      </c>
      <c r="J73" s="2" t="s">
        <v>234</v>
      </c>
      <c r="K73" s="2" t="s">
        <v>17</v>
      </c>
    </row>
    <row r="74" spans="1:11" hidden="1" x14ac:dyDescent="0.25">
      <c r="A74" s="3">
        <v>43600</v>
      </c>
      <c r="B74" s="11"/>
      <c r="C74" s="2" t="s">
        <v>156</v>
      </c>
      <c r="D74" s="2"/>
      <c r="E74" s="2" t="s">
        <v>193</v>
      </c>
      <c r="F74" s="2" t="s">
        <v>11</v>
      </c>
      <c r="G74" s="2" t="s">
        <v>19</v>
      </c>
      <c r="H74" s="2" t="s">
        <v>13</v>
      </c>
      <c r="I74" s="2"/>
      <c r="J74" s="2"/>
      <c r="K74" s="2" t="s">
        <v>67</v>
      </c>
    </row>
    <row r="75" spans="1:11" x14ac:dyDescent="0.25">
      <c r="A75" s="3">
        <v>43606</v>
      </c>
      <c r="B75" s="11"/>
      <c r="C75" s="2" t="s">
        <v>164</v>
      </c>
      <c r="D75" s="2"/>
      <c r="E75" s="2" t="s">
        <v>193</v>
      </c>
      <c r="F75" s="2" t="s">
        <v>43</v>
      </c>
      <c r="G75" s="2" t="s">
        <v>12</v>
      </c>
      <c r="H75" s="2" t="s">
        <v>62</v>
      </c>
      <c r="I75" s="2">
        <v>8</v>
      </c>
      <c r="J75" s="2" t="s">
        <v>236</v>
      </c>
      <c r="K75" s="2" t="s">
        <v>34</v>
      </c>
    </row>
    <row r="76" spans="1:11" x14ac:dyDescent="0.25">
      <c r="A76" s="3">
        <v>43607</v>
      </c>
      <c r="B76" s="11"/>
      <c r="C76" s="2" t="s">
        <v>16</v>
      </c>
      <c r="D76" s="2"/>
      <c r="E76" s="2" t="s">
        <v>193</v>
      </c>
      <c r="F76" s="2" t="s">
        <v>11</v>
      </c>
      <c r="G76" s="2" t="s">
        <v>12</v>
      </c>
      <c r="H76" s="2" t="s">
        <v>31</v>
      </c>
      <c r="I76" s="2">
        <v>3</v>
      </c>
      <c r="J76" s="2" t="s">
        <v>237</v>
      </c>
      <c r="K76" s="2" t="s">
        <v>17</v>
      </c>
    </row>
    <row r="77" spans="1:11" x14ac:dyDescent="0.25">
      <c r="A77" s="3">
        <v>43609</v>
      </c>
      <c r="B77" s="11"/>
      <c r="C77" s="2" t="s">
        <v>22</v>
      </c>
      <c r="D77" s="2"/>
      <c r="E77" s="2" t="s">
        <v>10</v>
      </c>
      <c r="F77" s="2" t="s">
        <v>11</v>
      </c>
      <c r="G77" s="2" t="s">
        <v>12</v>
      </c>
      <c r="H77" s="2" t="s">
        <v>13</v>
      </c>
      <c r="I77" s="2"/>
      <c r="J77" s="2" t="s">
        <v>123</v>
      </c>
      <c r="K77" s="2" t="s">
        <v>15</v>
      </c>
    </row>
    <row r="78" spans="1:11" x14ac:dyDescent="0.25">
      <c r="A78" s="3">
        <v>43616</v>
      </c>
      <c r="B78" s="11"/>
      <c r="C78" s="2" t="s">
        <v>23</v>
      </c>
      <c r="D78" s="2"/>
      <c r="E78" s="2" t="s">
        <v>10</v>
      </c>
      <c r="F78" s="2" t="s">
        <v>11</v>
      </c>
      <c r="G78" s="2" t="s">
        <v>12</v>
      </c>
      <c r="H78" s="2" t="s">
        <v>13</v>
      </c>
      <c r="I78" s="2"/>
      <c r="J78" s="2" t="s">
        <v>124</v>
      </c>
      <c r="K78" s="2" t="s">
        <v>17</v>
      </c>
    </row>
    <row r="79" spans="1:11" x14ac:dyDescent="0.25">
      <c r="A79" s="3">
        <v>43619</v>
      </c>
      <c r="B79" s="11"/>
      <c r="C79" s="2" t="s">
        <v>50</v>
      </c>
      <c r="D79" s="2"/>
      <c r="E79" s="2" t="s">
        <v>193</v>
      </c>
      <c r="F79" s="2" t="s">
        <v>11</v>
      </c>
      <c r="G79" s="2" t="s">
        <v>12</v>
      </c>
      <c r="H79" s="2" t="s">
        <v>37</v>
      </c>
      <c r="I79" s="2">
        <v>36</v>
      </c>
      <c r="J79" s="2" t="s">
        <v>238</v>
      </c>
      <c r="K79" s="2" t="s">
        <v>15</v>
      </c>
    </row>
    <row r="80" spans="1:11" x14ac:dyDescent="0.25">
      <c r="A80" s="3">
        <v>43623</v>
      </c>
      <c r="B80" s="11"/>
      <c r="C80" s="2" t="s">
        <v>239</v>
      </c>
      <c r="D80" s="2"/>
      <c r="E80" s="2" t="s">
        <v>193</v>
      </c>
      <c r="F80" s="2" t="s">
        <v>11</v>
      </c>
      <c r="G80" s="2" t="s">
        <v>12</v>
      </c>
      <c r="H80" s="2" t="s">
        <v>37</v>
      </c>
      <c r="I80" s="2">
        <v>1</v>
      </c>
      <c r="J80" s="2" t="s">
        <v>240</v>
      </c>
      <c r="K80" s="2" t="s">
        <v>29</v>
      </c>
    </row>
    <row r="81" spans="1:11" x14ac:dyDescent="0.25">
      <c r="A81" s="3">
        <v>43625</v>
      </c>
      <c r="B81" s="11"/>
      <c r="C81" s="2" t="s">
        <v>74</v>
      </c>
      <c r="D81" s="2"/>
      <c r="E81" s="2" t="s">
        <v>193</v>
      </c>
      <c r="F81" s="2" t="s">
        <v>43</v>
      </c>
      <c r="G81" s="2" t="s">
        <v>12</v>
      </c>
      <c r="H81" s="2" t="s">
        <v>31</v>
      </c>
      <c r="I81" s="2">
        <v>1</v>
      </c>
      <c r="J81" s="2"/>
      <c r="K81" s="2" t="s">
        <v>34</v>
      </c>
    </row>
    <row r="82" spans="1:11" x14ac:dyDescent="0.25">
      <c r="A82" s="3">
        <v>43626</v>
      </c>
      <c r="B82" s="11"/>
      <c r="C82" s="2" t="s">
        <v>28</v>
      </c>
      <c r="D82" s="2"/>
      <c r="E82" s="2" t="s">
        <v>193</v>
      </c>
      <c r="F82" s="2" t="s">
        <v>11</v>
      </c>
      <c r="G82" s="2" t="s">
        <v>12</v>
      </c>
      <c r="H82" s="2" t="s">
        <v>62</v>
      </c>
      <c r="I82" s="2">
        <v>8</v>
      </c>
      <c r="J82" s="2" t="s">
        <v>241</v>
      </c>
      <c r="K82" s="2" t="s">
        <v>29</v>
      </c>
    </row>
    <row r="83" spans="1:11" x14ac:dyDescent="0.25">
      <c r="A83" s="3">
        <v>43627</v>
      </c>
      <c r="B83" s="11"/>
      <c r="C83" s="2" t="s">
        <v>74</v>
      </c>
      <c r="D83" s="2"/>
      <c r="E83" s="2" t="s">
        <v>193</v>
      </c>
      <c r="F83" s="2" t="s">
        <v>11</v>
      </c>
      <c r="G83" s="2" t="s">
        <v>12</v>
      </c>
      <c r="H83" s="2" t="s">
        <v>31</v>
      </c>
      <c r="I83" s="2"/>
      <c r="J83" s="2" t="s">
        <v>242</v>
      </c>
      <c r="K83" s="2" t="s">
        <v>34</v>
      </c>
    </row>
    <row r="84" spans="1:11" x14ac:dyDescent="0.25">
      <c r="A84" s="3">
        <v>43631</v>
      </c>
      <c r="B84" s="11"/>
      <c r="C84" s="2" t="s">
        <v>243</v>
      </c>
      <c r="D84" s="2"/>
      <c r="E84" s="2" t="s">
        <v>193</v>
      </c>
      <c r="F84" s="2" t="s">
        <v>11</v>
      </c>
      <c r="G84" s="2" t="s">
        <v>12</v>
      </c>
      <c r="H84" s="2" t="s">
        <v>37</v>
      </c>
      <c r="I84" s="2">
        <v>10</v>
      </c>
      <c r="J84" s="2"/>
      <c r="K84" s="2" t="s">
        <v>29</v>
      </c>
    </row>
    <row r="85" spans="1:11" hidden="1" x14ac:dyDescent="0.25">
      <c r="A85" s="3">
        <v>43634</v>
      </c>
      <c r="B85" s="11"/>
      <c r="C85" s="2" t="s">
        <v>156</v>
      </c>
      <c r="D85" s="2"/>
      <c r="E85" s="2" t="s">
        <v>193</v>
      </c>
      <c r="F85" s="2" t="s">
        <v>11</v>
      </c>
      <c r="G85" s="2" t="s">
        <v>19</v>
      </c>
      <c r="H85" s="2" t="s">
        <v>13</v>
      </c>
      <c r="I85" s="2"/>
      <c r="J85" s="2"/>
      <c r="K85" s="2" t="s">
        <v>67</v>
      </c>
    </row>
    <row r="86" spans="1:11" hidden="1" x14ac:dyDescent="0.25">
      <c r="A86" s="3">
        <v>43638</v>
      </c>
      <c r="B86" s="11"/>
      <c r="C86" s="2" t="s">
        <v>28</v>
      </c>
      <c r="D86" s="2"/>
      <c r="E86" s="2" t="s">
        <v>193</v>
      </c>
      <c r="F86" s="2" t="s">
        <v>11</v>
      </c>
      <c r="G86" s="2" t="s">
        <v>12</v>
      </c>
      <c r="H86" s="2" t="s">
        <v>14</v>
      </c>
      <c r="I86" s="2">
        <v>13</v>
      </c>
      <c r="J86" s="2"/>
      <c r="K86" s="2" t="s">
        <v>29</v>
      </c>
    </row>
    <row r="87" spans="1:11" x14ac:dyDescent="0.25">
      <c r="A87" s="3">
        <v>43638</v>
      </c>
      <c r="B87" s="11"/>
      <c r="C87" s="2" t="s">
        <v>28</v>
      </c>
      <c r="D87" s="2"/>
      <c r="E87" s="2" t="s">
        <v>193</v>
      </c>
      <c r="F87" s="2" t="s">
        <v>11</v>
      </c>
      <c r="G87" s="2" t="s">
        <v>12</v>
      </c>
      <c r="H87" s="2" t="s">
        <v>62</v>
      </c>
      <c r="I87" s="2">
        <v>61</v>
      </c>
      <c r="J87" s="2" t="s">
        <v>244</v>
      </c>
      <c r="K87" s="2" t="s">
        <v>29</v>
      </c>
    </row>
    <row r="88" spans="1:11" x14ac:dyDescent="0.25">
      <c r="A88" s="3">
        <v>43639</v>
      </c>
      <c r="B88" s="11"/>
      <c r="C88" s="2" t="s">
        <v>82</v>
      </c>
      <c r="D88" s="2"/>
      <c r="E88" s="2" t="s">
        <v>193</v>
      </c>
      <c r="F88" s="2" t="s">
        <v>11</v>
      </c>
      <c r="G88" s="2" t="s">
        <v>12</v>
      </c>
      <c r="H88" s="2" t="s">
        <v>31</v>
      </c>
      <c r="I88" s="2">
        <v>11</v>
      </c>
      <c r="J88" s="2"/>
      <c r="K88" s="2" t="s">
        <v>15</v>
      </c>
    </row>
    <row r="89" spans="1:11" hidden="1" x14ac:dyDescent="0.25">
      <c r="A89" s="3">
        <v>43642</v>
      </c>
      <c r="B89" s="11"/>
      <c r="C89" s="2" t="s">
        <v>21</v>
      </c>
      <c r="D89" s="2"/>
      <c r="E89" s="2" t="s">
        <v>193</v>
      </c>
      <c r="F89" s="2" t="s">
        <v>11</v>
      </c>
      <c r="G89" s="2" t="s">
        <v>19</v>
      </c>
      <c r="H89" s="2" t="s">
        <v>14</v>
      </c>
      <c r="I89" s="2"/>
      <c r="J89" s="2"/>
      <c r="K89" s="2" t="s">
        <v>15</v>
      </c>
    </row>
    <row r="90" spans="1:11" hidden="1" x14ac:dyDescent="0.25">
      <c r="A90" s="3">
        <v>43722</v>
      </c>
      <c r="B90" s="11"/>
      <c r="C90" s="2" t="s">
        <v>79</v>
      </c>
      <c r="D90" s="2"/>
      <c r="E90" s="2" t="s">
        <v>193</v>
      </c>
      <c r="F90" s="2" t="s">
        <v>11</v>
      </c>
      <c r="G90" s="2" t="s">
        <v>19</v>
      </c>
      <c r="H90" s="2" t="s">
        <v>37</v>
      </c>
      <c r="I90" s="2">
        <v>1</v>
      </c>
      <c r="J90" s="2"/>
      <c r="K90" s="2" t="s">
        <v>15</v>
      </c>
    </row>
    <row r="91" spans="1:11" x14ac:dyDescent="0.25">
      <c r="A91" s="3">
        <v>43730</v>
      </c>
      <c r="B91" s="11"/>
      <c r="C91" s="2" t="s">
        <v>219</v>
      </c>
      <c r="D91" s="2"/>
      <c r="E91" s="2" t="s">
        <v>193</v>
      </c>
      <c r="F91" s="2" t="s">
        <v>11</v>
      </c>
      <c r="G91" s="2" t="s">
        <v>12</v>
      </c>
      <c r="H91" s="2" t="s">
        <v>37</v>
      </c>
      <c r="I91" s="2">
        <v>1</v>
      </c>
      <c r="J91" s="2"/>
      <c r="K91" s="2" t="s">
        <v>15</v>
      </c>
    </row>
    <row r="92" spans="1:11" hidden="1" x14ac:dyDescent="0.25">
      <c r="A92" s="3">
        <v>43740</v>
      </c>
      <c r="B92" s="11"/>
      <c r="C92" s="2" t="s">
        <v>75</v>
      </c>
      <c r="D92" s="2"/>
      <c r="E92" s="2" t="s">
        <v>245</v>
      </c>
      <c r="F92" s="2" t="s">
        <v>11</v>
      </c>
      <c r="G92" s="2" t="s">
        <v>19</v>
      </c>
      <c r="H92" s="2" t="s">
        <v>37</v>
      </c>
      <c r="I92" s="2">
        <v>50</v>
      </c>
      <c r="J92" s="2"/>
      <c r="K92" s="2" t="s">
        <v>15</v>
      </c>
    </row>
    <row r="93" spans="1:11" hidden="1" x14ac:dyDescent="0.25">
      <c r="A93" s="3">
        <v>43741</v>
      </c>
      <c r="B93" s="11"/>
      <c r="C93" s="2" t="s">
        <v>75</v>
      </c>
      <c r="D93" s="2"/>
      <c r="E93" s="2" t="s">
        <v>245</v>
      </c>
      <c r="F93" s="2" t="s">
        <v>11</v>
      </c>
      <c r="G93" s="2" t="s">
        <v>19</v>
      </c>
      <c r="H93" s="2" t="s">
        <v>37</v>
      </c>
      <c r="I93" s="2">
        <v>7</v>
      </c>
      <c r="J93" s="2"/>
      <c r="K93" s="2" t="s">
        <v>15</v>
      </c>
    </row>
    <row r="94" spans="1:11" x14ac:dyDescent="0.25">
      <c r="A94" s="3">
        <v>43745</v>
      </c>
      <c r="B94" s="11"/>
      <c r="C94" s="2" t="s">
        <v>216</v>
      </c>
      <c r="D94" s="2"/>
      <c r="E94" s="2" t="s">
        <v>193</v>
      </c>
      <c r="F94" s="2" t="s">
        <v>33</v>
      </c>
      <c r="G94" s="2" t="s">
        <v>12</v>
      </c>
      <c r="H94" s="2" t="s">
        <v>37</v>
      </c>
      <c r="I94" s="2">
        <v>0</v>
      </c>
      <c r="J94" s="2"/>
      <c r="K94" s="2" t="s">
        <v>67</v>
      </c>
    </row>
    <row r="95" spans="1:11" x14ac:dyDescent="0.25">
      <c r="A95" s="3">
        <v>43750</v>
      </c>
      <c r="B95" s="11"/>
      <c r="C95" s="2" t="s">
        <v>216</v>
      </c>
      <c r="D95" s="2"/>
      <c r="E95" s="2" t="s">
        <v>193</v>
      </c>
      <c r="F95" s="2" t="s">
        <v>11</v>
      </c>
      <c r="G95" s="2" t="s">
        <v>12</v>
      </c>
      <c r="H95" s="2" t="s">
        <v>37</v>
      </c>
      <c r="I95" s="2"/>
      <c r="J95" s="2"/>
      <c r="K95" s="2" t="s">
        <v>67</v>
      </c>
    </row>
    <row r="96" spans="1:11" hidden="1" x14ac:dyDescent="0.25">
      <c r="A96" s="3">
        <v>43753</v>
      </c>
      <c r="B96" s="11"/>
      <c r="C96" s="2" t="s">
        <v>9</v>
      </c>
      <c r="D96" s="2"/>
      <c r="E96" s="2" t="s">
        <v>193</v>
      </c>
      <c r="F96" s="2" t="s">
        <v>11</v>
      </c>
      <c r="G96" s="2"/>
      <c r="H96" s="2" t="s">
        <v>19</v>
      </c>
      <c r="I96" s="2"/>
      <c r="J96" s="2"/>
      <c r="K96" s="2" t="s">
        <v>15</v>
      </c>
    </row>
    <row r="97" spans="1:11" x14ac:dyDescent="0.25">
      <c r="A97" s="3">
        <v>43763</v>
      </c>
      <c r="B97" s="11"/>
      <c r="C97" s="2" t="s">
        <v>75</v>
      </c>
      <c r="D97" s="2"/>
      <c r="E97" s="2" t="s">
        <v>246</v>
      </c>
      <c r="F97" s="2" t="s">
        <v>11</v>
      </c>
      <c r="G97" s="2" t="s">
        <v>12</v>
      </c>
      <c r="H97" s="2" t="s">
        <v>37</v>
      </c>
      <c r="I97" s="2">
        <v>1</v>
      </c>
      <c r="J97" s="2"/>
      <c r="K97" s="2" t="s">
        <v>15</v>
      </c>
    </row>
    <row r="98" spans="1:11" hidden="1" x14ac:dyDescent="0.25">
      <c r="A98" s="3">
        <v>43773</v>
      </c>
      <c r="B98" s="11"/>
      <c r="C98" s="2" t="s">
        <v>75</v>
      </c>
      <c r="D98" s="2"/>
      <c r="E98" s="2" t="s">
        <v>246</v>
      </c>
      <c r="F98" s="2" t="s">
        <v>11</v>
      </c>
      <c r="G98" s="2"/>
      <c r="H98" s="2" t="s">
        <v>37</v>
      </c>
      <c r="I98" s="2">
        <v>7</v>
      </c>
      <c r="J98" s="2"/>
      <c r="K98" s="2" t="s">
        <v>15</v>
      </c>
    </row>
    <row r="99" spans="1:11" x14ac:dyDescent="0.25">
      <c r="A99" s="3">
        <v>43785</v>
      </c>
      <c r="B99" s="11"/>
      <c r="C99" s="2" t="s">
        <v>21</v>
      </c>
      <c r="D99" s="2"/>
      <c r="E99" s="2" t="s">
        <v>245</v>
      </c>
      <c r="F99" s="2" t="s">
        <v>11</v>
      </c>
      <c r="G99" s="2" t="s">
        <v>12</v>
      </c>
      <c r="H99" s="2" t="s">
        <v>37</v>
      </c>
      <c r="I99" s="2">
        <v>7</v>
      </c>
      <c r="J99" s="2"/>
      <c r="K99" s="2" t="s">
        <v>15</v>
      </c>
    </row>
    <row r="100" spans="1:11" x14ac:dyDescent="0.25">
      <c r="A100" s="3">
        <v>43785</v>
      </c>
      <c r="B100" s="11"/>
      <c r="C100" s="2" t="s">
        <v>21</v>
      </c>
      <c r="D100" s="2"/>
      <c r="E100" s="2" t="s">
        <v>245</v>
      </c>
      <c r="F100" s="2" t="s">
        <v>11</v>
      </c>
      <c r="G100" s="2" t="s">
        <v>12</v>
      </c>
      <c r="H100" s="2" t="s">
        <v>37</v>
      </c>
      <c r="I100" s="2">
        <v>8</v>
      </c>
      <c r="J100" s="2"/>
      <c r="K100" s="2" t="s">
        <v>15</v>
      </c>
    </row>
    <row r="101" spans="1:11" hidden="1" x14ac:dyDescent="0.25">
      <c r="A101" s="3">
        <v>43785</v>
      </c>
      <c r="B101" s="11"/>
      <c r="C101" s="2" t="s">
        <v>156</v>
      </c>
      <c r="D101" s="2"/>
      <c r="E101" s="2" t="s">
        <v>193</v>
      </c>
      <c r="F101" s="2" t="s">
        <v>11</v>
      </c>
      <c r="G101" s="2"/>
      <c r="H101" s="2" t="s">
        <v>37</v>
      </c>
      <c r="I101" s="2"/>
      <c r="J101" s="2"/>
      <c r="K101" s="2" t="s">
        <v>67</v>
      </c>
    </row>
    <row r="102" spans="1:11" hidden="1" x14ac:dyDescent="0.25">
      <c r="A102" s="3">
        <v>43831</v>
      </c>
      <c r="B102" s="11"/>
      <c r="C102" s="2" t="s">
        <v>24</v>
      </c>
      <c r="D102" s="2"/>
      <c r="E102" s="2" t="s">
        <v>10</v>
      </c>
      <c r="F102" s="2" t="s">
        <v>11</v>
      </c>
      <c r="G102" s="2" t="s">
        <v>19</v>
      </c>
      <c r="H102" s="2" t="s">
        <v>13</v>
      </c>
      <c r="I102" s="2"/>
      <c r="J102" s="2" t="s">
        <v>125</v>
      </c>
      <c r="K102" s="2" t="s">
        <v>15</v>
      </c>
    </row>
    <row r="103" spans="1:11" hidden="1" x14ac:dyDescent="0.25">
      <c r="A103" s="3">
        <v>43852</v>
      </c>
      <c r="B103" s="11"/>
      <c r="C103" s="2" t="s">
        <v>208</v>
      </c>
      <c r="D103" s="2"/>
      <c r="E103" s="2" t="s">
        <v>209</v>
      </c>
      <c r="F103" s="2" t="s">
        <v>11</v>
      </c>
      <c r="G103" s="2" t="s">
        <v>12</v>
      </c>
      <c r="H103" s="2" t="s">
        <v>19</v>
      </c>
      <c r="I103" s="2">
        <v>2</v>
      </c>
      <c r="J103" s="2" t="s">
        <v>210</v>
      </c>
      <c r="K103" s="2" t="s">
        <v>29</v>
      </c>
    </row>
    <row r="104" spans="1:11" hidden="1" x14ac:dyDescent="0.25">
      <c r="A104" s="3">
        <v>43869</v>
      </c>
      <c r="B104" s="11"/>
      <c r="C104" s="2" t="s">
        <v>21</v>
      </c>
      <c r="D104" s="2"/>
      <c r="E104" s="2" t="s">
        <v>207</v>
      </c>
      <c r="F104" s="2" t="s">
        <v>11</v>
      </c>
      <c r="G104" s="2" t="s">
        <v>12</v>
      </c>
      <c r="H104" s="2" t="s">
        <v>19</v>
      </c>
      <c r="I104" s="2">
        <v>1</v>
      </c>
      <c r="J104" s="2"/>
      <c r="K104" s="2" t="s">
        <v>15</v>
      </c>
    </row>
    <row r="105" spans="1:11" hidden="1" x14ac:dyDescent="0.25">
      <c r="A105" s="3">
        <v>43883</v>
      </c>
      <c r="B105" s="11"/>
      <c r="C105" s="2" t="s">
        <v>208</v>
      </c>
      <c r="D105" s="2"/>
      <c r="E105" s="2" t="s">
        <v>211</v>
      </c>
      <c r="F105" s="2" t="s">
        <v>11</v>
      </c>
      <c r="G105" s="2" t="s">
        <v>19</v>
      </c>
      <c r="H105" s="2" t="s">
        <v>31</v>
      </c>
      <c r="I105" s="2">
        <v>2</v>
      </c>
      <c r="J105" s="2" t="s">
        <v>212</v>
      </c>
      <c r="K105" s="2" t="s">
        <v>29</v>
      </c>
    </row>
    <row r="106" spans="1:11" x14ac:dyDescent="0.25">
      <c r="A106" s="3">
        <v>43888</v>
      </c>
      <c r="B106" s="11"/>
      <c r="C106" s="2" t="s">
        <v>9</v>
      </c>
      <c r="D106" s="2"/>
      <c r="E106" s="2" t="s">
        <v>207</v>
      </c>
      <c r="F106" s="2" t="s">
        <v>11</v>
      </c>
      <c r="G106" s="2" t="s">
        <v>12</v>
      </c>
      <c r="H106" s="2" t="s">
        <v>26</v>
      </c>
      <c r="I106" s="2">
        <v>2</v>
      </c>
      <c r="J106" s="2"/>
      <c r="K106" s="2" t="s">
        <v>15</v>
      </c>
    </row>
    <row r="107" spans="1:11" hidden="1" x14ac:dyDescent="0.25">
      <c r="A107" s="3">
        <v>43911</v>
      </c>
      <c r="B107" s="11"/>
      <c r="C107" s="2" t="s">
        <v>47</v>
      </c>
      <c r="D107" s="2"/>
      <c r="E107" s="2" t="s">
        <v>193</v>
      </c>
      <c r="F107" s="2" t="s">
        <v>11</v>
      </c>
      <c r="G107" s="2" t="s">
        <v>19</v>
      </c>
      <c r="H107" s="2" t="s">
        <v>31</v>
      </c>
      <c r="I107" s="2">
        <v>3</v>
      </c>
      <c r="J107" s="2" t="s">
        <v>213</v>
      </c>
      <c r="K107" s="2" t="s">
        <v>29</v>
      </c>
    </row>
    <row r="108" spans="1:11" hidden="1" x14ac:dyDescent="0.25">
      <c r="A108" s="3">
        <v>43971</v>
      </c>
      <c r="B108" s="11"/>
      <c r="C108" s="2" t="s">
        <v>214</v>
      </c>
      <c r="D108" s="2"/>
      <c r="E108" s="2" t="s">
        <v>207</v>
      </c>
      <c r="F108" s="2" t="s">
        <v>11</v>
      </c>
      <c r="G108" s="2" t="s">
        <v>19</v>
      </c>
      <c r="H108" s="2" t="s">
        <v>31</v>
      </c>
      <c r="I108" s="2">
        <v>2</v>
      </c>
      <c r="J108" s="2" t="s">
        <v>215</v>
      </c>
      <c r="K108" s="2" t="s">
        <v>29</v>
      </c>
    </row>
    <row r="109" spans="1:11" hidden="1" x14ac:dyDescent="0.25">
      <c r="A109" s="3">
        <v>44001</v>
      </c>
      <c r="B109" s="11"/>
      <c r="C109" s="2" t="s">
        <v>117</v>
      </c>
      <c r="D109" s="2"/>
      <c r="E109" s="2" t="s">
        <v>207</v>
      </c>
      <c r="F109" s="2" t="s">
        <v>11</v>
      </c>
      <c r="G109" s="2" t="s">
        <v>12</v>
      </c>
      <c r="H109" s="2" t="s">
        <v>14</v>
      </c>
      <c r="I109" s="2">
        <v>-2</v>
      </c>
      <c r="J109" s="2"/>
      <c r="K109" s="2" t="s">
        <v>34</v>
      </c>
    </row>
    <row r="110" spans="1:11" hidden="1" x14ac:dyDescent="0.25">
      <c r="A110" s="3">
        <v>44003</v>
      </c>
      <c r="B110" s="11"/>
      <c r="C110" s="2" t="s">
        <v>76</v>
      </c>
      <c r="D110" s="2"/>
      <c r="E110" s="2" t="s">
        <v>193</v>
      </c>
      <c r="F110" s="2" t="s">
        <v>11</v>
      </c>
      <c r="G110" s="2" t="s">
        <v>12</v>
      </c>
      <c r="H110" s="2" t="s">
        <v>53</v>
      </c>
      <c r="I110" s="2">
        <v>24</v>
      </c>
      <c r="J110" s="2" t="s">
        <v>218</v>
      </c>
      <c r="K110" s="2" t="s">
        <v>15</v>
      </c>
    </row>
    <row r="111" spans="1:11" x14ac:dyDescent="0.25">
      <c r="A111" s="3">
        <v>44004</v>
      </c>
      <c r="B111" s="11"/>
      <c r="C111" s="2" t="s">
        <v>54</v>
      </c>
      <c r="D111" s="2"/>
      <c r="E111" s="2" t="s">
        <v>207</v>
      </c>
      <c r="F111" s="2" t="s">
        <v>43</v>
      </c>
      <c r="G111" s="2" t="s">
        <v>12</v>
      </c>
      <c r="H111" s="2" t="s">
        <v>49</v>
      </c>
      <c r="I111" s="2">
        <v>58</v>
      </c>
      <c r="J111" s="2"/>
      <c r="K111" s="2" t="s">
        <v>29</v>
      </c>
    </row>
    <row r="112" spans="1:11" x14ac:dyDescent="0.25">
      <c r="A112" s="3">
        <v>44011</v>
      </c>
      <c r="B112" s="11"/>
      <c r="C112" s="2" t="s">
        <v>25</v>
      </c>
      <c r="D112" s="2"/>
      <c r="E112" s="2" t="s">
        <v>10</v>
      </c>
      <c r="F112" s="2" t="s">
        <v>11</v>
      </c>
      <c r="G112" s="2" t="s">
        <v>12</v>
      </c>
      <c r="H112" s="2" t="s">
        <v>26</v>
      </c>
      <c r="I112" s="4"/>
      <c r="J112" s="2" t="s">
        <v>27</v>
      </c>
      <c r="K112" s="2" t="s">
        <v>17</v>
      </c>
    </row>
    <row r="113" spans="1:11" x14ac:dyDescent="0.25">
      <c r="A113" s="3">
        <v>44012</v>
      </c>
      <c r="B113" s="11"/>
      <c r="C113" s="2" t="s">
        <v>28</v>
      </c>
      <c r="D113" s="2"/>
      <c r="E113" s="2" t="s">
        <v>193</v>
      </c>
      <c r="F113" s="2" t="s">
        <v>11</v>
      </c>
      <c r="G113" s="2" t="s">
        <v>12</v>
      </c>
      <c r="H113" s="2" t="s">
        <v>62</v>
      </c>
      <c r="I113" s="2">
        <v>38</v>
      </c>
      <c r="J113" s="2"/>
      <c r="K113" s="2" t="s">
        <v>29</v>
      </c>
    </row>
    <row r="114" spans="1:11" x14ac:dyDescent="0.25">
      <c r="A114" s="3">
        <v>44052</v>
      </c>
      <c r="B114" s="11"/>
      <c r="C114" s="2" t="s">
        <v>117</v>
      </c>
      <c r="D114" s="2"/>
      <c r="E114" s="2" t="s">
        <v>207</v>
      </c>
      <c r="F114" s="2" t="s">
        <v>43</v>
      </c>
      <c r="G114" s="2" t="s">
        <v>12</v>
      </c>
      <c r="H114" s="2" t="s">
        <v>31</v>
      </c>
      <c r="I114" s="2">
        <v>121</v>
      </c>
      <c r="J114" s="2"/>
      <c r="K114" s="2" t="s">
        <v>34</v>
      </c>
    </row>
    <row r="115" spans="1:11" hidden="1" x14ac:dyDescent="0.25">
      <c r="A115" s="3">
        <v>44126</v>
      </c>
      <c r="B115" s="11"/>
      <c r="C115" s="2" t="s">
        <v>219</v>
      </c>
      <c r="D115" s="2"/>
      <c r="E115" s="2" t="s">
        <v>207</v>
      </c>
      <c r="F115" s="2" t="s">
        <v>11</v>
      </c>
      <c r="G115" s="2" t="s">
        <v>19</v>
      </c>
      <c r="H115" s="2" t="s">
        <v>19</v>
      </c>
      <c r="I115" s="2">
        <v>2</v>
      </c>
      <c r="J115" s="2"/>
      <c r="K115" s="2" t="s">
        <v>15</v>
      </c>
    </row>
    <row r="116" spans="1:11" x14ac:dyDescent="0.25">
      <c r="A116" s="3">
        <v>44162</v>
      </c>
      <c r="B116" s="11"/>
      <c r="C116" s="2" t="s">
        <v>65</v>
      </c>
      <c r="D116" s="2"/>
      <c r="E116" s="2" t="s">
        <v>207</v>
      </c>
      <c r="F116" s="2" t="s">
        <v>11</v>
      </c>
      <c r="G116" s="2" t="s">
        <v>12</v>
      </c>
      <c r="H116" s="2" t="s">
        <v>37</v>
      </c>
      <c r="I116" s="2">
        <v>4</v>
      </c>
      <c r="J116" s="2"/>
      <c r="K116" s="2" t="s">
        <v>67</v>
      </c>
    </row>
    <row r="117" spans="1:11" x14ac:dyDescent="0.25">
      <c r="A117" s="3">
        <v>44208</v>
      </c>
      <c r="B117" s="11"/>
      <c r="C117" s="2" t="s">
        <v>30</v>
      </c>
      <c r="D117" s="2"/>
      <c r="E117" s="2" t="s">
        <v>193</v>
      </c>
      <c r="F117" s="2" t="s">
        <v>11</v>
      </c>
      <c r="G117" s="2" t="s">
        <v>12</v>
      </c>
      <c r="H117" s="2" t="s">
        <v>31</v>
      </c>
      <c r="I117" s="2">
        <v>-44207</v>
      </c>
      <c r="J117" s="2" t="s">
        <v>194</v>
      </c>
      <c r="K117" s="2" t="s">
        <v>29</v>
      </c>
    </row>
    <row r="118" spans="1:11" x14ac:dyDescent="0.25">
      <c r="A118" s="3">
        <v>44209</v>
      </c>
      <c r="B118" s="11"/>
      <c r="C118" s="2" t="s">
        <v>30</v>
      </c>
      <c r="D118" s="2"/>
      <c r="E118" s="2" t="s">
        <v>193</v>
      </c>
      <c r="F118" s="2" t="s">
        <v>11</v>
      </c>
      <c r="G118" s="2" t="s">
        <v>12</v>
      </c>
      <c r="H118" s="2" t="s">
        <v>31</v>
      </c>
      <c r="I118" s="2">
        <v>6</v>
      </c>
      <c r="J118" s="2" t="s">
        <v>195</v>
      </c>
      <c r="K118" s="2" t="s">
        <v>29</v>
      </c>
    </row>
    <row r="119" spans="1:11" hidden="1" x14ac:dyDescent="0.25">
      <c r="A119" s="3">
        <v>44221</v>
      </c>
      <c r="B119" s="11"/>
      <c r="C119" s="2" t="s">
        <v>21</v>
      </c>
      <c r="D119" s="2"/>
      <c r="E119" s="2" t="s">
        <v>193</v>
      </c>
      <c r="F119" s="2" t="s">
        <v>11</v>
      </c>
      <c r="G119" s="2" t="s">
        <v>19</v>
      </c>
      <c r="H119" s="2" t="s">
        <v>19</v>
      </c>
      <c r="I119" s="2">
        <v>-44220</v>
      </c>
      <c r="J119" s="2" t="s">
        <v>196</v>
      </c>
      <c r="K119" s="2" t="s">
        <v>15</v>
      </c>
    </row>
    <row r="120" spans="1:11" hidden="1" x14ac:dyDescent="0.25">
      <c r="A120" s="3">
        <v>44223</v>
      </c>
      <c r="B120" s="11"/>
      <c r="C120" s="2" t="s">
        <v>65</v>
      </c>
      <c r="D120" s="2"/>
      <c r="E120" s="2" t="s">
        <v>193</v>
      </c>
      <c r="F120" s="2" t="s">
        <v>11</v>
      </c>
      <c r="G120" s="2" t="s">
        <v>19</v>
      </c>
      <c r="H120" s="2" t="s">
        <v>37</v>
      </c>
      <c r="I120" s="2">
        <v>1</v>
      </c>
      <c r="J120" s="2" t="s">
        <v>197</v>
      </c>
      <c r="K120" s="2" t="s">
        <v>67</v>
      </c>
    </row>
    <row r="121" spans="1:11" x14ac:dyDescent="0.25">
      <c r="A121" s="3">
        <v>44228</v>
      </c>
      <c r="B121" s="11"/>
      <c r="C121" s="2" t="s">
        <v>40</v>
      </c>
      <c r="D121" s="2"/>
      <c r="E121" s="2" t="s">
        <v>193</v>
      </c>
      <c r="F121" s="2" t="s">
        <v>11</v>
      </c>
      <c r="G121" s="2" t="s">
        <v>41</v>
      </c>
      <c r="H121" s="2" t="s">
        <v>26</v>
      </c>
      <c r="I121" s="2">
        <v>1</v>
      </c>
      <c r="J121" s="2" t="s">
        <v>198</v>
      </c>
      <c r="K121" s="2" t="s">
        <v>17</v>
      </c>
    </row>
    <row r="122" spans="1:11" x14ac:dyDescent="0.25">
      <c r="A122" s="3">
        <v>44231</v>
      </c>
      <c r="B122" s="11"/>
      <c r="C122" s="2" t="s">
        <v>40</v>
      </c>
      <c r="D122" s="2"/>
      <c r="E122" s="2" t="s">
        <v>193</v>
      </c>
      <c r="F122" s="2" t="s">
        <v>11</v>
      </c>
      <c r="G122" s="2" t="s">
        <v>41</v>
      </c>
      <c r="H122" s="2" t="s">
        <v>26</v>
      </c>
      <c r="I122" s="2">
        <v>-44230</v>
      </c>
      <c r="J122" s="2" t="s">
        <v>199</v>
      </c>
      <c r="K122" s="2" t="s">
        <v>17</v>
      </c>
    </row>
    <row r="123" spans="1:11" hidden="1" x14ac:dyDescent="0.25">
      <c r="A123" s="3">
        <v>44259</v>
      </c>
      <c r="B123" s="11"/>
      <c r="C123" s="2" t="s">
        <v>45</v>
      </c>
      <c r="D123" s="2"/>
      <c r="E123" s="2" t="s">
        <v>200</v>
      </c>
      <c r="F123" s="2" t="s">
        <v>11</v>
      </c>
      <c r="G123" s="2" t="s">
        <v>19</v>
      </c>
      <c r="H123" s="2" t="s">
        <v>37</v>
      </c>
      <c r="I123" s="2">
        <v>2</v>
      </c>
      <c r="J123" s="2" t="s">
        <v>201</v>
      </c>
      <c r="K123" s="2" t="s">
        <v>29</v>
      </c>
    </row>
    <row r="124" spans="1:11" x14ac:dyDescent="0.25">
      <c r="A124" s="3">
        <v>44269</v>
      </c>
      <c r="B124" s="11"/>
      <c r="C124" s="2" t="s">
        <v>35</v>
      </c>
      <c r="D124" s="2"/>
      <c r="E124" s="2" t="s">
        <v>10</v>
      </c>
      <c r="F124" s="2" t="s">
        <v>11</v>
      </c>
      <c r="G124" s="2" t="s">
        <v>12</v>
      </c>
      <c r="H124" s="2" t="s">
        <v>13</v>
      </c>
      <c r="I124" s="5"/>
      <c r="J124" s="2" t="s">
        <v>126</v>
      </c>
      <c r="K124" s="2" t="s">
        <v>15</v>
      </c>
    </row>
    <row r="125" spans="1:11" x14ac:dyDescent="0.25">
      <c r="A125" s="3">
        <v>44270</v>
      </c>
      <c r="B125" s="11"/>
      <c r="C125" s="2" t="s">
        <v>36</v>
      </c>
      <c r="D125" s="2"/>
      <c r="E125" s="2" t="s">
        <v>10</v>
      </c>
      <c r="F125" s="2" t="s">
        <v>11</v>
      </c>
      <c r="G125" s="2" t="s">
        <v>12</v>
      </c>
      <c r="H125" s="2" t="s">
        <v>37</v>
      </c>
      <c r="I125" s="5"/>
      <c r="J125" s="2" t="s">
        <v>160</v>
      </c>
      <c r="K125" s="2" t="s">
        <v>15</v>
      </c>
    </row>
    <row r="126" spans="1:11" x14ac:dyDescent="0.25">
      <c r="A126" s="3">
        <v>44271</v>
      </c>
      <c r="B126" s="11"/>
      <c r="C126" s="2" t="s">
        <v>38</v>
      </c>
      <c r="D126" s="2"/>
      <c r="E126" s="2" t="s">
        <v>39</v>
      </c>
      <c r="F126" s="2" t="s">
        <v>11</v>
      </c>
      <c r="G126" s="2" t="s">
        <v>12</v>
      </c>
      <c r="H126" s="2" t="s">
        <v>13</v>
      </c>
      <c r="I126" s="2">
        <v>-44270</v>
      </c>
      <c r="J126" s="2" t="s">
        <v>202</v>
      </c>
      <c r="K126" s="2" t="s">
        <v>17</v>
      </c>
    </row>
    <row r="127" spans="1:11" x14ac:dyDescent="0.25">
      <c r="A127" s="3">
        <v>44275</v>
      </c>
      <c r="B127" s="11"/>
      <c r="C127" s="2" t="s">
        <v>203</v>
      </c>
      <c r="D127" s="2"/>
      <c r="E127" s="2" t="s">
        <v>193</v>
      </c>
      <c r="F127" s="2" t="s">
        <v>11</v>
      </c>
      <c r="G127" s="2" t="s">
        <v>12</v>
      </c>
      <c r="H127" s="2" t="s">
        <v>31</v>
      </c>
      <c r="I127" s="2">
        <v>4</v>
      </c>
      <c r="J127" s="2" t="s">
        <v>204</v>
      </c>
      <c r="K127" s="2" t="s">
        <v>29</v>
      </c>
    </row>
    <row r="128" spans="1:11" x14ac:dyDescent="0.25">
      <c r="A128" s="3">
        <v>44302</v>
      </c>
      <c r="B128" s="11"/>
      <c r="C128" s="2" t="s">
        <v>23</v>
      </c>
      <c r="D128" s="2"/>
      <c r="E128" s="2" t="s">
        <v>193</v>
      </c>
      <c r="F128" s="2" t="s">
        <v>11</v>
      </c>
      <c r="G128" s="2" t="s">
        <v>12</v>
      </c>
      <c r="H128" s="2" t="s">
        <v>37</v>
      </c>
      <c r="I128" s="2">
        <v>1</v>
      </c>
      <c r="J128" s="2" t="s">
        <v>205</v>
      </c>
      <c r="K128" s="2" t="s">
        <v>17</v>
      </c>
    </row>
    <row r="129" spans="1:11" x14ac:dyDescent="0.25">
      <c r="A129" s="3">
        <v>44341</v>
      </c>
      <c r="B129" s="11"/>
      <c r="C129" s="2" t="s">
        <v>40</v>
      </c>
      <c r="D129" s="2"/>
      <c r="E129" s="2" t="s">
        <v>206</v>
      </c>
      <c r="F129" s="2" t="s">
        <v>11</v>
      </c>
      <c r="G129" s="2" t="s">
        <v>41</v>
      </c>
      <c r="H129" s="2" t="s">
        <v>26</v>
      </c>
      <c r="I129" s="2">
        <v>-44340</v>
      </c>
      <c r="J129" s="2"/>
      <c r="K129" s="2" t="s">
        <v>17</v>
      </c>
    </row>
    <row r="130" spans="1:11" hidden="1" x14ac:dyDescent="0.25">
      <c r="A130" s="3">
        <v>44351</v>
      </c>
      <c r="B130" s="11"/>
      <c r="C130" s="2" t="s">
        <v>93</v>
      </c>
      <c r="D130" s="2"/>
      <c r="E130" s="2" t="s">
        <v>10</v>
      </c>
      <c r="F130" s="2" t="s">
        <v>11</v>
      </c>
      <c r="G130" s="2" t="s">
        <v>12</v>
      </c>
      <c r="H130" s="2" t="s">
        <v>14</v>
      </c>
      <c r="I130" s="5"/>
      <c r="J130" s="2"/>
      <c r="K130" s="2" t="s">
        <v>29</v>
      </c>
    </row>
    <row r="131" spans="1:11" x14ac:dyDescent="0.25">
      <c r="A131" s="3">
        <v>44489</v>
      </c>
      <c r="B131" s="11"/>
      <c r="C131" s="2" t="s">
        <v>42</v>
      </c>
      <c r="D131" s="2"/>
      <c r="E131" s="2" t="s">
        <v>10</v>
      </c>
      <c r="F131" s="2" t="s">
        <v>11</v>
      </c>
      <c r="G131" s="2" t="s">
        <v>12</v>
      </c>
      <c r="H131" s="2" t="s">
        <v>13</v>
      </c>
      <c r="I131" s="5"/>
      <c r="J131" s="2" t="s">
        <v>161</v>
      </c>
      <c r="K131" s="2" t="s">
        <v>34</v>
      </c>
    </row>
    <row r="132" spans="1:11" x14ac:dyDescent="0.25">
      <c r="A132" s="3">
        <v>44503</v>
      </c>
      <c r="B132" s="11"/>
      <c r="C132" s="2" t="s">
        <v>162</v>
      </c>
      <c r="D132" s="2"/>
      <c r="E132" s="2" t="s">
        <v>10</v>
      </c>
      <c r="F132" s="2" t="s">
        <v>11</v>
      </c>
      <c r="G132" s="2" t="s">
        <v>12</v>
      </c>
      <c r="H132" s="2" t="s">
        <v>13</v>
      </c>
      <c r="I132" s="5"/>
      <c r="J132" s="2" t="s">
        <v>163</v>
      </c>
      <c r="K132" s="2" t="s">
        <v>34</v>
      </c>
    </row>
    <row r="133" spans="1:11" x14ac:dyDescent="0.25">
      <c r="A133" s="3">
        <v>44533</v>
      </c>
      <c r="B133" s="11"/>
      <c r="C133" s="2" t="s">
        <v>38</v>
      </c>
      <c r="D133" s="2"/>
      <c r="E133" s="2" t="s">
        <v>10</v>
      </c>
      <c r="F133" s="2" t="s">
        <v>11</v>
      </c>
      <c r="G133" s="2" t="s">
        <v>12</v>
      </c>
      <c r="H133" s="2" t="s">
        <v>13</v>
      </c>
      <c r="I133" s="4"/>
      <c r="J133" s="2" t="s">
        <v>127</v>
      </c>
      <c r="K133" s="2" t="s">
        <v>17</v>
      </c>
    </row>
    <row r="134" spans="1:11" x14ac:dyDescent="0.25">
      <c r="A134" s="3">
        <v>44565</v>
      </c>
      <c r="B134" s="11"/>
      <c r="C134" s="2" t="s">
        <v>74</v>
      </c>
      <c r="D134" s="2"/>
      <c r="E134" s="2" t="s">
        <v>10</v>
      </c>
      <c r="F134" s="2" t="s">
        <v>43</v>
      </c>
      <c r="G134" s="2" t="s">
        <v>12</v>
      </c>
      <c r="H134" s="2" t="s">
        <v>37</v>
      </c>
      <c r="I134" s="5"/>
      <c r="J134" s="2" t="s">
        <v>165</v>
      </c>
      <c r="K134" s="2" t="s">
        <v>34</v>
      </c>
    </row>
    <row r="135" spans="1:11" x14ac:dyDescent="0.25">
      <c r="A135" s="3">
        <v>44571</v>
      </c>
      <c r="B135" s="11"/>
      <c r="C135" s="2" t="s">
        <v>166</v>
      </c>
      <c r="D135" s="2"/>
      <c r="E135" s="2" t="s">
        <v>10</v>
      </c>
      <c r="F135" s="2" t="s">
        <v>11</v>
      </c>
      <c r="G135" s="2" t="s">
        <v>12</v>
      </c>
      <c r="H135" s="2" t="s">
        <v>62</v>
      </c>
      <c r="I135" s="5"/>
      <c r="J135" s="2" t="s">
        <v>167</v>
      </c>
      <c r="K135" s="2" t="s">
        <v>29</v>
      </c>
    </row>
    <row r="136" spans="1:11" hidden="1" x14ac:dyDescent="0.25">
      <c r="A136" s="3">
        <v>44584</v>
      </c>
      <c r="B136" s="11"/>
      <c r="C136" s="2" t="s">
        <v>166</v>
      </c>
      <c r="D136" s="2"/>
      <c r="E136" s="2" t="s">
        <v>10</v>
      </c>
      <c r="F136" s="2" t="s">
        <v>11</v>
      </c>
      <c r="G136" s="2" t="s">
        <v>19</v>
      </c>
      <c r="H136" s="2" t="s">
        <v>62</v>
      </c>
      <c r="I136" s="5"/>
      <c r="J136" s="2" t="s">
        <v>168</v>
      </c>
      <c r="K136" s="2" t="s">
        <v>29</v>
      </c>
    </row>
    <row r="137" spans="1:11" x14ac:dyDescent="0.25">
      <c r="A137" s="3">
        <v>44603</v>
      </c>
      <c r="B137" s="11"/>
      <c r="C137" s="2" t="s">
        <v>35</v>
      </c>
      <c r="D137" s="2"/>
      <c r="E137" s="2" t="s">
        <v>10</v>
      </c>
      <c r="F137" s="2" t="s">
        <v>11</v>
      </c>
      <c r="G137" s="2" t="s">
        <v>12</v>
      </c>
      <c r="H137" s="2" t="s">
        <v>13</v>
      </c>
      <c r="I137" s="5"/>
      <c r="J137" s="2" t="s">
        <v>128</v>
      </c>
      <c r="K137" s="2" t="s">
        <v>15</v>
      </c>
    </row>
    <row r="138" spans="1:11" x14ac:dyDescent="0.25">
      <c r="A138" s="3">
        <v>44604</v>
      </c>
      <c r="B138" s="11"/>
      <c r="C138" s="2" t="s">
        <v>40</v>
      </c>
      <c r="D138" s="2"/>
      <c r="E138" s="2" t="s">
        <v>10</v>
      </c>
      <c r="F138" s="2" t="s">
        <v>11</v>
      </c>
      <c r="G138" s="2" t="s">
        <v>41</v>
      </c>
      <c r="H138" s="2" t="s">
        <v>37</v>
      </c>
      <c r="I138" s="5"/>
      <c r="J138" s="2" t="s">
        <v>169</v>
      </c>
      <c r="K138" s="2" t="s">
        <v>17</v>
      </c>
    </row>
    <row r="139" spans="1:11" x14ac:dyDescent="0.25">
      <c r="A139" s="3">
        <v>44618</v>
      </c>
      <c r="B139" s="11"/>
      <c r="C139" s="2" t="s">
        <v>32</v>
      </c>
      <c r="D139" s="2"/>
      <c r="E139" s="2" t="s">
        <v>10</v>
      </c>
      <c r="F139" s="2" t="s">
        <v>43</v>
      </c>
      <c r="G139" s="2" t="s">
        <v>12</v>
      </c>
      <c r="H139" s="2" t="s">
        <v>13</v>
      </c>
      <c r="I139" s="5"/>
      <c r="J139" s="2" t="s">
        <v>129</v>
      </c>
      <c r="K139" s="2" t="s">
        <v>34</v>
      </c>
    </row>
    <row r="140" spans="1:11" x14ac:dyDescent="0.25">
      <c r="A140" s="3">
        <v>44638</v>
      </c>
      <c r="B140" s="11"/>
      <c r="C140" s="2" t="s">
        <v>102</v>
      </c>
      <c r="D140" s="2"/>
      <c r="E140" s="2" t="s">
        <v>10</v>
      </c>
      <c r="F140" s="2" t="s">
        <v>11</v>
      </c>
      <c r="G140" s="2" t="s">
        <v>103</v>
      </c>
      <c r="H140" s="2" t="s">
        <v>31</v>
      </c>
      <c r="I140" s="5"/>
      <c r="J140" s="2" t="s">
        <v>171</v>
      </c>
      <c r="K140" s="2" t="s">
        <v>67</v>
      </c>
    </row>
    <row r="141" spans="1:11" x14ac:dyDescent="0.25">
      <c r="A141" s="3">
        <v>44650</v>
      </c>
      <c r="B141" s="11"/>
      <c r="C141" s="2" t="s">
        <v>172</v>
      </c>
      <c r="D141" s="2"/>
      <c r="E141" s="2" t="s">
        <v>10</v>
      </c>
      <c r="F141" s="2" t="s">
        <v>11</v>
      </c>
      <c r="G141" s="2" t="s">
        <v>12</v>
      </c>
      <c r="H141" s="2" t="s">
        <v>62</v>
      </c>
      <c r="I141" s="5"/>
      <c r="J141" s="2" t="s">
        <v>173</v>
      </c>
      <c r="K141" s="2" t="s">
        <v>15</v>
      </c>
    </row>
    <row r="142" spans="1:11" x14ac:dyDescent="0.25">
      <c r="A142" s="3">
        <v>44653</v>
      </c>
      <c r="B142" s="11"/>
      <c r="C142" s="2" t="s">
        <v>174</v>
      </c>
      <c r="D142" s="2"/>
      <c r="E142" s="2" t="s">
        <v>10</v>
      </c>
      <c r="F142" s="2" t="s">
        <v>11</v>
      </c>
      <c r="G142" s="2" t="s">
        <v>12</v>
      </c>
      <c r="H142" s="2" t="s">
        <v>37</v>
      </c>
      <c r="I142" s="5"/>
      <c r="J142" s="2" t="s">
        <v>175</v>
      </c>
      <c r="K142" s="2" t="s">
        <v>17</v>
      </c>
    </row>
    <row r="143" spans="1:11" x14ac:dyDescent="0.25">
      <c r="A143" s="3">
        <v>44661</v>
      </c>
      <c r="B143" s="11"/>
      <c r="C143" s="2" t="s">
        <v>42</v>
      </c>
      <c r="D143" s="2"/>
      <c r="E143" s="2" t="s">
        <v>10</v>
      </c>
      <c r="F143" s="2" t="s">
        <v>11</v>
      </c>
      <c r="G143" s="2" t="s">
        <v>12</v>
      </c>
      <c r="H143" s="2" t="s">
        <v>62</v>
      </c>
      <c r="I143" s="5"/>
      <c r="J143" s="2" t="s">
        <v>176</v>
      </c>
      <c r="K143" s="2" t="s">
        <v>34</v>
      </c>
    </row>
    <row r="144" spans="1:11" hidden="1" x14ac:dyDescent="0.25">
      <c r="A144" s="3">
        <v>44690</v>
      </c>
      <c r="B144" s="11"/>
      <c r="C144" s="2" t="s">
        <v>21</v>
      </c>
      <c r="D144" s="2"/>
      <c r="E144" s="2" t="s">
        <v>10</v>
      </c>
      <c r="F144" s="2" t="s">
        <v>43</v>
      </c>
      <c r="G144" s="2" t="s">
        <v>19</v>
      </c>
      <c r="H144" s="2" t="s">
        <v>37</v>
      </c>
      <c r="I144" s="5"/>
      <c r="J144" s="2" t="s">
        <v>177</v>
      </c>
      <c r="K144" s="2" t="s">
        <v>15</v>
      </c>
    </row>
    <row r="145" spans="1:11" x14ac:dyDescent="0.25">
      <c r="A145" s="3">
        <v>44742</v>
      </c>
      <c r="B145" s="11"/>
      <c r="C145" s="2" t="s">
        <v>50</v>
      </c>
      <c r="D145" s="2"/>
      <c r="E145" s="2" t="s">
        <v>10</v>
      </c>
      <c r="F145" s="2" t="s">
        <v>11</v>
      </c>
      <c r="G145" s="2" t="s">
        <v>12</v>
      </c>
      <c r="H145" s="2" t="s">
        <v>37</v>
      </c>
      <c r="I145" s="5"/>
      <c r="J145" s="2" t="s">
        <v>178</v>
      </c>
      <c r="K145" s="2" t="s">
        <v>15</v>
      </c>
    </row>
    <row r="146" spans="1:11" hidden="1" x14ac:dyDescent="0.25">
      <c r="A146" s="3">
        <v>44783</v>
      </c>
      <c r="B146" s="11"/>
      <c r="C146" s="2" t="s">
        <v>179</v>
      </c>
      <c r="D146" s="2"/>
      <c r="E146" s="2" t="s">
        <v>10</v>
      </c>
      <c r="F146" s="2" t="s">
        <v>11</v>
      </c>
      <c r="G146" s="2" t="s">
        <v>19</v>
      </c>
      <c r="H146" s="2" t="s">
        <v>37</v>
      </c>
      <c r="I146" s="5"/>
      <c r="J146" s="2" t="s">
        <v>180</v>
      </c>
      <c r="K146" s="2" t="s">
        <v>29</v>
      </c>
    </row>
    <row r="147" spans="1:11" hidden="1" x14ac:dyDescent="0.25">
      <c r="A147" s="3">
        <v>44784</v>
      </c>
      <c r="B147" s="11"/>
      <c r="C147" s="2" t="s">
        <v>179</v>
      </c>
      <c r="D147" s="2"/>
      <c r="E147" s="2" t="s">
        <v>10</v>
      </c>
      <c r="F147" s="2" t="s">
        <v>11</v>
      </c>
      <c r="G147" s="2" t="s">
        <v>19</v>
      </c>
      <c r="H147" s="2" t="s">
        <v>37</v>
      </c>
      <c r="I147" s="5"/>
      <c r="J147" s="2" t="s">
        <v>181</v>
      </c>
      <c r="K147" s="2" t="s">
        <v>29</v>
      </c>
    </row>
    <row r="148" spans="1:11" x14ac:dyDescent="0.25">
      <c r="A148" s="3">
        <v>44817</v>
      </c>
      <c r="B148" s="11"/>
      <c r="C148" s="2" t="s">
        <v>58</v>
      </c>
      <c r="D148" s="2"/>
      <c r="E148" s="2" t="s">
        <v>10</v>
      </c>
      <c r="F148" s="2" t="s">
        <v>11</v>
      </c>
      <c r="G148" s="2" t="s">
        <v>12</v>
      </c>
      <c r="H148" s="2" t="s">
        <v>26</v>
      </c>
      <c r="I148" s="5"/>
      <c r="J148" s="2" t="s">
        <v>182</v>
      </c>
      <c r="K148" s="2" t="s">
        <v>34</v>
      </c>
    </row>
    <row r="149" spans="1:11" hidden="1" x14ac:dyDescent="0.25">
      <c r="A149" s="3">
        <v>44825</v>
      </c>
      <c r="B149" s="11"/>
      <c r="C149" s="2" t="s">
        <v>21</v>
      </c>
      <c r="D149" s="2"/>
      <c r="E149" s="2" t="s">
        <v>10</v>
      </c>
      <c r="F149" s="2" t="s">
        <v>11</v>
      </c>
      <c r="G149" s="2" t="s">
        <v>19</v>
      </c>
      <c r="H149" s="2" t="s">
        <v>37</v>
      </c>
      <c r="I149" s="5"/>
      <c r="J149" s="2" t="s">
        <v>130</v>
      </c>
      <c r="K149" s="2" t="s">
        <v>15</v>
      </c>
    </row>
    <row r="150" spans="1:11" hidden="1" x14ac:dyDescent="0.25">
      <c r="A150" s="3">
        <v>44825</v>
      </c>
      <c r="B150" s="11"/>
      <c r="C150" s="2" t="s">
        <v>21</v>
      </c>
      <c r="D150" s="2"/>
      <c r="E150" s="2" t="s">
        <v>10</v>
      </c>
      <c r="F150" s="2" t="s">
        <v>11</v>
      </c>
      <c r="G150" s="2" t="s">
        <v>19</v>
      </c>
      <c r="H150" s="2" t="s">
        <v>37</v>
      </c>
      <c r="I150" s="5"/>
      <c r="J150" s="2" t="s">
        <v>183</v>
      </c>
      <c r="K150" s="2" t="s">
        <v>15</v>
      </c>
    </row>
    <row r="151" spans="1:11" x14ac:dyDescent="0.25">
      <c r="A151" s="3">
        <v>44834</v>
      </c>
      <c r="B151" s="11"/>
      <c r="C151" s="2" t="s">
        <v>65</v>
      </c>
      <c r="D151" s="2"/>
      <c r="E151" s="2" t="s">
        <v>10</v>
      </c>
      <c r="F151" s="2" t="s">
        <v>11</v>
      </c>
      <c r="G151" s="2" t="s">
        <v>12</v>
      </c>
      <c r="H151" s="2" t="s">
        <v>37</v>
      </c>
      <c r="I151" s="5"/>
      <c r="J151" s="2" t="s">
        <v>184</v>
      </c>
      <c r="K151" s="2" t="s">
        <v>67</v>
      </c>
    </row>
    <row r="152" spans="1:11" hidden="1" x14ac:dyDescent="0.25">
      <c r="A152" s="3">
        <v>44842</v>
      </c>
      <c r="B152" s="11"/>
      <c r="C152" s="2" t="s">
        <v>21</v>
      </c>
      <c r="D152" s="2"/>
      <c r="E152" s="2" t="s">
        <v>10</v>
      </c>
      <c r="F152" s="2" t="s">
        <v>11</v>
      </c>
      <c r="G152" s="2" t="s">
        <v>19</v>
      </c>
      <c r="H152" s="2" t="s">
        <v>37</v>
      </c>
      <c r="I152" s="5"/>
      <c r="J152" s="2" t="s">
        <v>185</v>
      </c>
      <c r="K152" s="2" t="s">
        <v>15</v>
      </c>
    </row>
    <row r="153" spans="1:11" hidden="1" x14ac:dyDescent="0.25">
      <c r="A153" s="3">
        <v>44846</v>
      </c>
      <c r="B153" s="11"/>
      <c r="C153" s="2" t="s">
        <v>21</v>
      </c>
      <c r="D153" s="2"/>
      <c r="E153" s="2" t="s">
        <v>10</v>
      </c>
      <c r="F153" s="2" t="s">
        <v>11</v>
      </c>
      <c r="G153" s="2" t="s">
        <v>19</v>
      </c>
      <c r="H153" s="2" t="s">
        <v>37</v>
      </c>
      <c r="I153" s="5"/>
      <c r="J153" s="2" t="s">
        <v>186</v>
      </c>
      <c r="K153" s="2" t="s">
        <v>15</v>
      </c>
    </row>
    <row r="154" spans="1:11" hidden="1" x14ac:dyDescent="0.25">
      <c r="A154" s="3">
        <v>44849</v>
      </c>
      <c r="B154" s="11"/>
      <c r="C154" s="2" t="s">
        <v>21</v>
      </c>
      <c r="D154" s="2"/>
      <c r="E154" s="2" t="s">
        <v>10</v>
      </c>
      <c r="F154" s="2" t="s">
        <v>11</v>
      </c>
      <c r="G154" s="2" t="s">
        <v>19</v>
      </c>
      <c r="H154" s="2" t="s">
        <v>37</v>
      </c>
      <c r="I154" s="5"/>
      <c r="J154" s="2" t="s">
        <v>187</v>
      </c>
      <c r="K154" s="2" t="s">
        <v>15</v>
      </c>
    </row>
    <row r="155" spans="1:11" x14ac:dyDescent="0.25">
      <c r="A155" s="3">
        <v>44851</v>
      </c>
      <c r="B155" s="11"/>
      <c r="C155" s="2" t="s">
        <v>87</v>
      </c>
      <c r="D155" s="2"/>
      <c r="E155" s="2" t="s">
        <v>10</v>
      </c>
      <c r="F155" s="2" t="s">
        <v>11</v>
      </c>
      <c r="G155" s="2" t="s">
        <v>12</v>
      </c>
      <c r="H155" s="2" t="s">
        <v>13</v>
      </c>
      <c r="I155" s="5"/>
      <c r="J155" s="2" t="s">
        <v>188</v>
      </c>
      <c r="K155" s="2" t="s">
        <v>17</v>
      </c>
    </row>
    <row r="156" spans="1:11" x14ac:dyDescent="0.25">
      <c r="A156" s="3">
        <v>44853</v>
      </c>
      <c r="B156" s="11"/>
      <c r="C156" s="2" t="s">
        <v>74</v>
      </c>
      <c r="D156" s="2"/>
      <c r="E156" s="2" t="s">
        <v>10</v>
      </c>
      <c r="F156" s="2" t="s">
        <v>11</v>
      </c>
      <c r="G156" s="2" t="s">
        <v>12</v>
      </c>
      <c r="H156" s="2" t="s">
        <v>31</v>
      </c>
      <c r="I156" s="5"/>
      <c r="J156" s="2" t="s">
        <v>189</v>
      </c>
      <c r="K156" s="2" t="s">
        <v>34</v>
      </c>
    </row>
    <row r="157" spans="1:11" x14ac:dyDescent="0.25">
      <c r="A157" s="3">
        <v>44859</v>
      </c>
      <c r="B157" s="11"/>
      <c r="C157" s="2" t="s">
        <v>50</v>
      </c>
      <c r="D157" s="2"/>
      <c r="E157" s="2" t="s">
        <v>10</v>
      </c>
      <c r="F157" s="2" t="s">
        <v>11</v>
      </c>
      <c r="G157" s="2" t="s">
        <v>12</v>
      </c>
      <c r="H157" s="2" t="s">
        <v>37</v>
      </c>
      <c r="I157" s="5"/>
      <c r="J157" s="2" t="s">
        <v>190</v>
      </c>
      <c r="K157" s="2" t="s">
        <v>15</v>
      </c>
    </row>
    <row r="158" spans="1:11" hidden="1" x14ac:dyDescent="0.25">
      <c r="A158" s="3">
        <v>44886</v>
      </c>
      <c r="B158" s="11"/>
      <c r="C158" s="2" t="s">
        <v>21</v>
      </c>
      <c r="D158" s="2"/>
      <c r="E158" s="2" t="s">
        <v>10</v>
      </c>
      <c r="F158" s="2" t="s">
        <v>43</v>
      </c>
      <c r="G158" s="2" t="s">
        <v>19</v>
      </c>
      <c r="H158" s="2" t="s">
        <v>37</v>
      </c>
      <c r="I158" s="5"/>
      <c r="J158" s="2" t="s">
        <v>191</v>
      </c>
      <c r="K158" s="2" t="s">
        <v>15</v>
      </c>
    </row>
    <row r="159" spans="1:11" x14ac:dyDescent="0.25">
      <c r="A159" s="3">
        <v>44911</v>
      </c>
      <c r="B159" s="11"/>
      <c r="C159" s="2" t="s">
        <v>36</v>
      </c>
      <c r="D159" s="2"/>
      <c r="E159" s="2" t="s">
        <v>10</v>
      </c>
      <c r="F159" s="2" t="s">
        <v>11</v>
      </c>
      <c r="G159" s="2" t="s">
        <v>12</v>
      </c>
      <c r="H159" s="2" t="s">
        <v>37</v>
      </c>
      <c r="I159" s="5"/>
      <c r="J159" s="2" t="s">
        <v>192</v>
      </c>
      <c r="K159" s="2" t="s">
        <v>15</v>
      </c>
    </row>
    <row r="160" spans="1:11" x14ac:dyDescent="0.25">
      <c r="A160" s="3">
        <v>44966</v>
      </c>
      <c r="B160" s="11"/>
      <c r="C160" s="2" t="s">
        <v>28</v>
      </c>
      <c r="D160" s="2"/>
      <c r="E160" s="2" t="s">
        <v>10</v>
      </c>
      <c r="F160" s="2" t="s">
        <v>11</v>
      </c>
      <c r="G160" s="2" t="s">
        <v>12</v>
      </c>
      <c r="H160" s="2" t="s">
        <v>37</v>
      </c>
      <c r="I160" s="5"/>
      <c r="J160" s="2" t="s">
        <v>131</v>
      </c>
      <c r="K160" s="2" t="s">
        <v>29</v>
      </c>
    </row>
    <row r="161" spans="1:11" x14ac:dyDescent="0.25">
      <c r="A161" s="3">
        <v>44974</v>
      </c>
      <c r="B161" s="11"/>
      <c r="C161" s="2" t="s">
        <v>132</v>
      </c>
      <c r="D161" s="2"/>
      <c r="E161" s="2" t="s">
        <v>10</v>
      </c>
      <c r="F161" s="2" t="s">
        <v>11</v>
      </c>
      <c r="G161" s="2" t="s">
        <v>12</v>
      </c>
      <c r="H161" s="2" t="s">
        <v>37</v>
      </c>
      <c r="I161" s="5"/>
      <c r="J161" s="2" t="s">
        <v>133</v>
      </c>
      <c r="K161" s="2" t="s">
        <v>67</v>
      </c>
    </row>
    <row r="162" spans="1:11" x14ac:dyDescent="0.25">
      <c r="A162" s="3">
        <v>45006</v>
      </c>
      <c r="B162" s="11"/>
      <c r="C162" s="2" t="s">
        <v>44</v>
      </c>
      <c r="D162" s="2"/>
      <c r="E162" s="2" t="s">
        <v>10</v>
      </c>
      <c r="F162" s="2" t="s">
        <v>11</v>
      </c>
      <c r="G162" s="2" t="s">
        <v>12</v>
      </c>
      <c r="H162" s="2" t="s">
        <v>13</v>
      </c>
      <c r="I162" s="5"/>
      <c r="J162" s="2" t="s">
        <v>134</v>
      </c>
      <c r="K162" s="2" t="s">
        <v>29</v>
      </c>
    </row>
    <row r="163" spans="1:11" x14ac:dyDescent="0.25">
      <c r="A163" s="3">
        <v>45032</v>
      </c>
      <c r="B163" s="11"/>
      <c r="C163" s="2" t="s">
        <v>50</v>
      </c>
      <c r="D163" s="2"/>
      <c r="E163" s="2" t="s">
        <v>10</v>
      </c>
      <c r="F163" s="2" t="s">
        <v>11</v>
      </c>
      <c r="G163" s="2" t="s">
        <v>12</v>
      </c>
      <c r="H163" s="2" t="s">
        <v>26</v>
      </c>
      <c r="I163" s="5"/>
      <c r="J163" s="2" t="s">
        <v>135</v>
      </c>
      <c r="K163" s="2" t="s">
        <v>15</v>
      </c>
    </row>
    <row r="164" spans="1:11" x14ac:dyDescent="0.25">
      <c r="A164" s="3">
        <v>45039</v>
      </c>
      <c r="B164" s="11"/>
      <c r="C164" s="2" t="s">
        <v>50</v>
      </c>
      <c r="D164" s="2"/>
      <c r="E164" s="2" t="s">
        <v>10</v>
      </c>
      <c r="F164" s="2" t="s">
        <v>11</v>
      </c>
      <c r="G164" s="2" t="s">
        <v>41</v>
      </c>
      <c r="H164" s="2" t="s">
        <v>26</v>
      </c>
      <c r="I164" s="5"/>
      <c r="J164" s="2" t="s">
        <v>136</v>
      </c>
      <c r="K164" s="2" t="s">
        <v>15</v>
      </c>
    </row>
    <row r="165" spans="1:11" x14ac:dyDescent="0.25">
      <c r="A165" s="3">
        <v>45042</v>
      </c>
      <c r="B165" s="11"/>
      <c r="C165" s="2" t="s">
        <v>102</v>
      </c>
      <c r="D165" s="2"/>
      <c r="E165" s="2" t="s">
        <v>10</v>
      </c>
      <c r="F165" s="2" t="s">
        <v>11</v>
      </c>
      <c r="G165" s="2" t="s">
        <v>103</v>
      </c>
      <c r="H165" s="2" t="s">
        <v>13</v>
      </c>
      <c r="I165" s="5"/>
      <c r="J165" s="2" t="s">
        <v>137</v>
      </c>
      <c r="K165" s="2" t="s">
        <v>67</v>
      </c>
    </row>
    <row r="166" spans="1:11" x14ac:dyDescent="0.25">
      <c r="A166" s="3">
        <v>45047</v>
      </c>
      <c r="B166" s="11"/>
      <c r="C166" s="2" t="s">
        <v>25</v>
      </c>
      <c r="D166" s="2"/>
      <c r="E166" s="2" t="s">
        <v>10</v>
      </c>
      <c r="F166" s="2" t="s">
        <v>11</v>
      </c>
      <c r="G166" s="2" t="s">
        <v>12</v>
      </c>
      <c r="H166" s="2" t="s">
        <v>13</v>
      </c>
      <c r="I166" s="5"/>
      <c r="J166" s="2" t="s">
        <v>138</v>
      </c>
      <c r="K166" s="2" t="s">
        <v>17</v>
      </c>
    </row>
    <row r="167" spans="1:11" x14ac:dyDescent="0.25">
      <c r="A167" s="3">
        <v>45052</v>
      </c>
      <c r="B167" s="11"/>
      <c r="C167" s="2" t="s">
        <v>65</v>
      </c>
      <c r="D167" s="2"/>
      <c r="E167" s="2" t="s">
        <v>10</v>
      </c>
      <c r="F167" s="2" t="s">
        <v>11</v>
      </c>
      <c r="G167" s="2" t="s">
        <v>12</v>
      </c>
      <c r="H167" s="2" t="s">
        <v>37</v>
      </c>
      <c r="I167" s="5"/>
      <c r="J167" s="2" t="s">
        <v>139</v>
      </c>
      <c r="K167" s="2" t="s">
        <v>67</v>
      </c>
    </row>
    <row r="168" spans="1:11" x14ac:dyDescent="0.25">
      <c r="A168" s="3">
        <v>45055</v>
      </c>
      <c r="B168" s="11"/>
      <c r="C168" s="2" t="s">
        <v>23</v>
      </c>
      <c r="D168" s="2"/>
      <c r="E168" s="2" t="s">
        <v>10</v>
      </c>
      <c r="F168" s="2" t="s">
        <v>11</v>
      </c>
      <c r="G168" s="2" t="s">
        <v>12</v>
      </c>
      <c r="H168" s="2" t="s">
        <v>37</v>
      </c>
      <c r="I168" s="5"/>
      <c r="J168" s="2" t="s">
        <v>140</v>
      </c>
      <c r="K168" s="2" t="s">
        <v>17</v>
      </c>
    </row>
    <row r="169" spans="1:11" x14ac:dyDescent="0.25">
      <c r="A169" s="3">
        <v>45055</v>
      </c>
      <c r="B169" s="11"/>
      <c r="C169" s="2" t="s">
        <v>23</v>
      </c>
      <c r="D169" s="2"/>
      <c r="E169" s="2" t="s">
        <v>10</v>
      </c>
      <c r="F169" s="2" t="s">
        <v>11</v>
      </c>
      <c r="G169" s="2" t="s">
        <v>12</v>
      </c>
      <c r="H169" s="2" t="s">
        <v>37</v>
      </c>
      <c r="I169" s="5"/>
      <c r="J169" s="2" t="s">
        <v>141</v>
      </c>
      <c r="K169" s="2" t="s">
        <v>17</v>
      </c>
    </row>
    <row r="170" spans="1:11" x14ac:dyDescent="0.25">
      <c r="A170" s="3">
        <v>45063</v>
      </c>
      <c r="B170" s="11"/>
      <c r="C170" s="2" t="s">
        <v>47</v>
      </c>
      <c r="D170" s="2"/>
      <c r="E170" s="2" t="s">
        <v>10</v>
      </c>
      <c r="F170" s="2" t="s">
        <v>11</v>
      </c>
      <c r="G170" s="2" t="s">
        <v>12</v>
      </c>
      <c r="H170" s="2" t="s">
        <v>37</v>
      </c>
      <c r="I170" s="5"/>
      <c r="J170" s="2" t="s">
        <v>142</v>
      </c>
      <c r="K170" s="2" t="s">
        <v>29</v>
      </c>
    </row>
    <row r="171" spans="1:11" x14ac:dyDescent="0.25">
      <c r="A171" s="3">
        <v>45077</v>
      </c>
      <c r="B171" s="11"/>
      <c r="C171" s="2" t="s">
        <v>82</v>
      </c>
      <c r="D171" s="2"/>
      <c r="E171" s="2" t="s">
        <v>10</v>
      </c>
      <c r="F171" s="2" t="s">
        <v>11</v>
      </c>
      <c r="G171" s="2" t="s">
        <v>12</v>
      </c>
      <c r="H171" s="2" t="s">
        <v>37</v>
      </c>
      <c r="I171" s="5"/>
      <c r="J171" s="2" t="s">
        <v>143</v>
      </c>
      <c r="K171" s="2" t="s">
        <v>15</v>
      </c>
    </row>
    <row r="172" spans="1:11" x14ac:dyDescent="0.25">
      <c r="A172" s="3">
        <v>45078</v>
      </c>
      <c r="B172" s="11"/>
      <c r="C172" s="2" t="s">
        <v>45</v>
      </c>
      <c r="D172" s="2"/>
      <c r="E172" s="2" t="s">
        <v>10</v>
      </c>
      <c r="F172" s="2" t="s">
        <v>11</v>
      </c>
      <c r="G172" s="2" t="s">
        <v>12</v>
      </c>
      <c r="H172" s="2" t="s">
        <v>37</v>
      </c>
      <c r="I172" s="5"/>
      <c r="J172" s="2" t="s">
        <v>144</v>
      </c>
      <c r="K172" s="2" t="s">
        <v>29</v>
      </c>
    </row>
    <row r="173" spans="1:11" x14ac:dyDescent="0.25">
      <c r="A173" s="3">
        <v>45080</v>
      </c>
      <c r="B173" s="11"/>
      <c r="C173" s="2" t="s">
        <v>45</v>
      </c>
      <c r="D173" s="2"/>
      <c r="E173" s="2" t="s">
        <v>10</v>
      </c>
      <c r="F173" s="2" t="s">
        <v>11</v>
      </c>
      <c r="G173" s="2" t="s">
        <v>12</v>
      </c>
      <c r="H173" s="2" t="s">
        <v>37</v>
      </c>
      <c r="I173" s="5"/>
      <c r="J173" s="2" t="s">
        <v>145</v>
      </c>
      <c r="K173" s="2" t="s">
        <v>29</v>
      </c>
    </row>
    <row r="174" spans="1:11" x14ac:dyDescent="0.25">
      <c r="A174" s="3">
        <v>45105</v>
      </c>
      <c r="B174" s="11"/>
      <c r="C174" s="2" t="s">
        <v>42</v>
      </c>
      <c r="D174" s="2"/>
      <c r="E174" s="2" t="s">
        <v>10</v>
      </c>
      <c r="F174" s="2" t="s">
        <v>43</v>
      </c>
      <c r="G174" s="2" t="s">
        <v>12</v>
      </c>
      <c r="H174" s="2" t="s">
        <v>13</v>
      </c>
      <c r="I174" s="5"/>
      <c r="J174" s="2" t="s">
        <v>146</v>
      </c>
      <c r="K174" s="2" t="s">
        <v>34</v>
      </c>
    </row>
    <row r="175" spans="1:11" hidden="1" x14ac:dyDescent="0.25">
      <c r="A175" s="3">
        <v>45112</v>
      </c>
      <c r="B175" s="11"/>
      <c r="C175" s="2" t="s">
        <v>32</v>
      </c>
      <c r="D175" s="2"/>
      <c r="E175" s="2" t="s">
        <v>10</v>
      </c>
      <c r="F175" s="2" t="s">
        <v>11</v>
      </c>
      <c r="G175" s="2" t="s">
        <v>12</v>
      </c>
      <c r="H175" s="2" t="s">
        <v>14</v>
      </c>
      <c r="I175" s="5"/>
      <c r="J175" s="2" t="s">
        <v>147</v>
      </c>
      <c r="K175" s="2" t="s">
        <v>34</v>
      </c>
    </row>
    <row r="176" spans="1:11" x14ac:dyDescent="0.25">
      <c r="A176" s="3">
        <v>45138</v>
      </c>
      <c r="B176" s="11"/>
      <c r="C176" s="2" t="s">
        <v>45</v>
      </c>
      <c r="D176" s="2"/>
      <c r="E176" s="2" t="s">
        <v>10</v>
      </c>
      <c r="F176" s="2" t="s">
        <v>11</v>
      </c>
      <c r="G176" s="2" t="s">
        <v>12</v>
      </c>
      <c r="H176" s="2" t="s">
        <v>37</v>
      </c>
      <c r="I176" s="5"/>
      <c r="J176" s="2" t="s">
        <v>148</v>
      </c>
      <c r="K176" s="2" t="s">
        <v>29</v>
      </c>
    </row>
    <row r="177" spans="1:11" x14ac:dyDescent="0.25">
      <c r="A177" s="3">
        <v>45140</v>
      </c>
      <c r="B177" s="11"/>
      <c r="C177" s="2" t="s">
        <v>45</v>
      </c>
      <c r="D177" s="2"/>
      <c r="E177" s="2" t="s">
        <v>10</v>
      </c>
      <c r="F177" s="2" t="s">
        <v>11</v>
      </c>
      <c r="G177" s="2" t="s">
        <v>12</v>
      </c>
      <c r="H177" s="2" t="s">
        <v>37</v>
      </c>
      <c r="I177" s="5"/>
      <c r="J177" s="2" t="s">
        <v>149</v>
      </c>
      <c r="K177" s="2" t="s">
        <v>29</v>
      </c>
    </row>
    <row r="178" spans="1:11" x14ac:dyDescent="0.25">
      <c r="A178" s="3">
        <v>45146</v>
      </c>
      <c r="B178" s="11"/>
      <c r="C178" s="2" t="s">
        <v>36</v>
      </c>
      <c r="D178" s="2"/>
      <c r="E178" s="2" t="s">
        <v>10</v>
      </c>
      <c r="F178" s="2" t="s">
        <v>11</v>
      </c>
      <c r="G178" s="2" t="s">
        <v>12</v>
      </c>
      <c r="H178" s="2" t="s">
        <v>13</v>
      </c>
      <c r="I178" s="5"/>
      <c r="J178" s="2" t="s">
        <v>150</v>
      </c>
      <c r="K178" s="2" t="s">
        <v>15</v>
      </c>
    </row>
    <row r="179" spans="1:11" x14ac:dyDescent="0.25">
      <c r="A179" s="3">
        <v>45151</v>
      </c>
      <c r="B179" s="11"/>
      <c r="C179" s="2" t="s">
        <v>44</v>
      </c>
      <c r="D179" s="2"/>
      <c r="E179" s="2" t="s">
        <v>10</v>
      </c>
      <c r="F179" s="2" t="s">
        <v>11</v>
      </c>
      <c r="G179" s="2" t="s">
        <v>12</v>
      </c>
      <c r="H179" s="2" t="s">
        <v>13</v>
      </c>
      <c r="I179" s="5"/>
      <c r="J179" s="2" t="s">
        <v>151</v>
      </c>
      <c r="K179" s="2" t="s">
        <v>29</v>
      </c>
    </row>
    <row r="180" spans="1:11" x14ac:dyDescent="0.25">
      <c r="A180" s="3">
        <v>45164</v>
      </c>
      <c r="B180" s="11"/>
      <c r="C180" s="2" t="s">
        <v>152</v>
      </c>
      <c r="D180" s="2"/>
      <c r="E180" s="2" t="s">
        <v>10</v>
      </c>
      <c r="F180" s="2" t="s">
        <v>11</v>
      </c>
      <c r="G180" s="2" t="s">
        <v>12</v>
      </c>
      <c r="H180" s="2" t="s">
        <v>31</v>
      </c>
      <c r="I180" s="5"/>
      <c r="J180" s="2" t="s">
        <v>153</v>
      </c>
      <c r="K180" s="2" t="s">
        <v>29</v>
      </c>
    </row>
    <row r="181" spans="1:11" x14ac:dyDescent="0.25">
      <c r="A181" s="3">
        <v>45188</v>
      </c>
      <c r="B181" s="11"/>
      <c r="C181" s="2" t="s">
        <v>58</v>
      </c>
      <c r="D181" s="2"/>
      <c r="E181" s="2" t="s">
        <v>10</v>
      </c>
      <c r="F181" s="2" t="s">
        <v>11</v>
      </c>
      <c r="G181" s="2" t="s">
        <v>12</v>
      </c>
      <c r="H181" s="2" t="s">
        <v>26</v>
      </c>
      <c r="I181" s="5"/>
      <c r="J181" s="2" t="s">
        <v>154</v>
      </c>
      <c r="K181" s="2" t="s">
        <v>34</v>
      </c>
    </row>
    <row r="182" spans="1:11" x14ac:dyDescent="0.25">
      <c r="A182" s="3">
        <v>45210</v>
      </c>
      <c r="B182" s="11"/>
      <c r="C182" s="2" t="s">
        <v>109</v>
      </c>
      <c r="D182" s="2"/>
      <c r="E182" s="2" t="s">
        <v>10</v>
      </c>
      <c r="F182" s="2" t="s">
        <v>11</v>
      </c>
      <c r="G182" s="2" t="s">
        <v>12</v>
      </c>
      <c r="H182" s="2" t="s">
        <v>31</v>
      </c>
      <c r="I182" s="5"/>
      <c r="J182" s="2" t="s">
        <v>155</v>
      </c>
      <c r="K182" s="2" t="s">
        <v>29</v>
      </c>
    </row>
    <row r="183" spans="1:11" x14ac:dyDescent="0.25">
      <c r="A183" s="3">
        <v>45243</v>
      </c>
      <c r="B183" s="11"/>
      <c r="C183" s="2" t="s">
        <v>46</v>
      </c>
      <c r="D183" s="2"/>
      <c r="E183" s="2" t="s">
        <v>10</v>
      </c>
      <c r="F183" s="2" t="s">
        <v>11</v>
      </c>
      <c r="G183" s="2" t="s">
        <v>12</v>
      </c>
      <c r="H183" s="2" t="s">
        <v>13</v>
      </c>
      <c r="I183" s="5"/>
      <c r="J183" s="2" t="s">
        <v>157</v>
      </c>
      <c r="K183" s="2" t="s">
        <v>17</v>
      </c>
    </row>
    <row r="184" spans="1:11" hidden="1" x14ac:dyDescent="0.25">
      <c r="A184" s="3">
        <v>45248</v>
      </c>
      <c r="B184" s="11"/>
      <c r="C184" s="2" t="s">
        <v>21</v>
      </c>
      <c r="D184" s="2"/>
      <c r="E184" s="2" t="s">
        <v>10</v>
      </c>
      <c r="F184" s="2" t="s">
        <v>43</v>
      </c>
      <c r="G184" s="2" t="s">
        <v>19</v>
      </c>
      <c r="H184" s="2" t="s">
        <v>19</v>
      </c>
      <c r="I184" s="5"/>
      <c r="J184" s="2" t="s">
        <v>158</v>
      </c>
      <c r="K184" s="2" t="s">
        <v>15</v>
      </c>
    </row>
    <row r="185" spans="1:11" x14ac:dyDescent="0.25">
      <c r="A185" s="3">
        <v>45254</v>
      </c>
      <c r="B185" s="11"/>
      <c r="C185" s="2" t="s">
        <v>47</v>
      </c>
      <c r="D185" s="2"/>
      <c r="E185" s="2" t="s">
        <v>10</v>
      </c>
      <c r="F185" s="2" t="s">
        <v>11</v>
      </c>
      <c r="G185" s="2" t="s">
        <v>12</v>
      </c>
      <c r="H185" s="2" t="s">
        <v>13</v>
      </c>
      <c r="I185" s="5"/>
      <c r="J185" s="2" t="s">
        <v>48</v>
      </c>
      <c r="K185" s="2" t="s">
        <v>29</v>
      </c>
    </row>
    <row r="186" spans="1:11" x14ac:dyDescent="0.25">
      <c r="A186" s="3">
        <v>45277</v>
      </c>
      <c r="B186" s="11"/>
      <c r="C186" s="2" t="s">
        <v>23</v>
      </c>
      <c r="D186" s="2"/>
      <c r="E186" s="2" t="s">
        <v>10</v>
      </c>
      <c r="F186" s="2" t="s">
        <v>11</v>
      </c>
      <c r="G186" s="2" t="s">
        <v>12</v>
      </c>
      <c r="H186" s="2" t="s">
        <v>37</v>
      </c>
      <c r="I186" s="5"/>
      <c r="J186" s="2" t="s">
        <v>159</v>
      </c>
      <c r="K186" s="2" t="s">
        <v>17</v>
      </c>
    </row>
    <row r="187" spans="1:11" hidden="1" x14ac:dyDescent="0.25">
      <c r="A187" s="3">
        <v>45292</v>
      </c>
      <c r="B187" s="11"/>
      <c r="C187" s="2" t="s">
        <v>51</v>
      </c>
      <c r="D187" s="2"/>
      <c r="E187" s="2" t="s">
        <v>10</v>
      </c>
      <c r="F187" s="2" t="s">
        <v>11</v>
      </c>
      <c r="G187" s="2" t="s">
        <v>19</v>
      </c>
      <c r="H187" s="2" t="s">
        <v>13</v>
      </c>
      <c r="I187" s="5"/>
      <c r="J187" s="2" t="s">
        <v>52</v>
      </c>
      <c r="K187" s="2" t="s">
        <v>15</v>
      </c>
    </row>
    <row r="188" spans="1:11" x14ac:dyDescent="0.25">
      <c r="A188" s="3">
        <v>45308</v>
      </c>
      <c r="B188" s="11"/>
      <c r="C188" s="2" t="s">
        <v>55</v>
      </c>
      <c r="D188" s="2"/>
      <c r="E188" s="2" t="s">
        <v>10</v>
      </c>
      <c r="F188" s="2" t="s">
        <v>11</v>
      </c>
      <c r="G188" s="2" t="s">
        <v>12</v>
      </c>
      <c r="H188" s="2" t="s">
        <v>37</v>
      </c>
      <c r="I188" s="5"/>
      <c r="J188" s="2" t="s">
        <v>56</v>
      </c>
      <c r="K188" s="2" t="s">
        <v>29</v>
      </c>
    </row>
    <row r="189" spans="1:11" x14ac:dyDescent="0.25">
      <c r="A189" s="3">
        <v>45326</v>
      </c>
      <c r="B189" s="11"/>
      <c r="C189" s="2" t="s">
        <v>45</v>
      </c>
      <c r="D189" s="2"/>
      <c r="E189" s="2" t="s">
        <v>10</v>
      </c>
      <c r="F189" s="2" t="s">
        <v>11</v>
      </c>
      <c r="G189" s="2" t="s">
        <v>12</v>
      </c>
      <c r="H189" s="2" t="s">
        <v>37</v>
      </c>
      <c r="I189" s="5"/>
      <c r="J189" s="2" t="s">
        <v>57</v>
      </c>
      <c r="K189" s="2" t="s">
        <v>29</v>
      </c>
    </row>
    <row r="190" spans="1:11" x14ac:dyDescent="0.25">
      <c r="A190" s="3">
        <v>45330</v>
      </c>
      <c r="B190" s="11"/>
      <c r="C190" s="2" t="s">
        <v>23</v>
      </c>
      <c r="D190" s="2"/>
      <c r="E190" s="2" t="s">
        <v>10</v>
      </c>
      <c r="F190" s="2" t="s">
        <v>11</v>
      </c>
      <c r="G190" s="2" t="s">
        <v>12</v>
      </c>
      <c r="H190" s="2" t="s">
        <v>31</v>
      </c>
      <c r="I190" s="5"/>
      <c r="J190" s="2" t="s">
        <v>59</v>
      </c>
      <c r="K190" s="2" t="s">
        <v>17</v>
      </c>
    </row>
    <row r="191" spans="1:11" x14ac:dyDescent="0.25">
      <c r="A191" s="3">
        <v>45335</v>
      </c>
      <c r="B191" s="11"/>
      <c r="C191" s="2" t="s">
        <v>45</v>
      </c>
      <c r="D191" s="2"/>
      <c r="E191" s="2" t="s">
        <v>10</v>
      </c>
      <c r="F191" s="2" t="s">
        <v>11</v>
      </c>
      <c r="G191" s="2" t="s">
        <v>12</v>
      </c>
      <c r="H191" s="2" t="s">
        <v>37</v>
      </c>
      <c r="I191" s="5"/>
      <c r="J191" s="2" t="s">
        <v>60</v>
      </c>
      <c r="K191" s="2" t="s">
        <v>29</v>
      </c>
    </row>
    <row r="192" spans="1:11" x14ac:dyDescent="0.25">
      <c r="A192" s="3">
        <v>45339</v>
      </c>
      <c r="B192" s="11"/>
      <c r="C192" s="2" t="s">
        <v>23</v>
      </c>
      <c r="D192" s="2"/>
      <c r="E192" s="2" t="s">
        <v>10</v>
      </c>
      <c r="F192" s="2" t="s">
        <v>11</v>
      </c>
      <c r="G192" s="2" t="s">
        <v>12</v>
      </c>
      <c r="H192" s="2" t="s">
        <v>13</v>
      </c>
      <c r="I192" s="5"/>
      <c r="J192" s="2" t="s">
        <v>61</v>
      </c>
      <c r="K192" s="2" t="s">
        <v>17</v>
      </c>
    </row>
    <row r="193" spans="1:11" x14ac:dyDescent="0.25">
      <c r="A193" s="3">
        <v>45350</v>
      </c>
      <c r="B193" s="11"/>
      <c r="C193" s="2" t="s">
        <v>54</v>
      </c>
      <c r="D193" s="2"/>
      <c r="E193" s="2" t="s">
        <v>10</v>
      </c>
      <c r="F193" s="2" t="s">
        <v>11</v>
      </c>
      <c r="G193" s="2" t="s">
        <v>12</v>
      </c>
      <c r="H193" s="2" t="s">
        <v>62</v>
      </c>
      <c r="I193" s="5"/>
      <c r="J193" s="2" t="s">
        <v>63</v>
      </c>
      <c r="K193" s="2" t="s">
        <v>29</v>
      </c>
    </row>
    <row r="194" spans="1:11" x14ac:dyDescent="0.25">
      <c r="A194" s="3">
        <v>45368</v>
      </c>
      <c r="B194" s="11"/>
      <c r="C194" s="2" t="s">
        <v>65</v>
      </c>
      <c r="D194" s="2"/>
      <c r="E194" s="2" t="s">
        <v>10</v>
      </c>
      <c r="F194" s="2" t="s">
        <v>11</v>
      </c>
      <c r="G194" s="2" t="s">
        <v>12</v>
      </c>
      <c r="H194" s="2" t="s">
        <v>37</v>
      </c>
      <c r="I194" s="5"/>
      <c r="J194" s="2" t="s">
        <v>66</v>
      </c>
      <c r="K194" s="2" t="s">
        <v>67</v>
      </c>
    </row>
    <row r="195" spans="1:11" x14ac:dyDescent="0.25">
      <c r="A195" s="3">
        <v>45399</v>
      </c>
      <c r="B195" s="11"/>
      <c r="C195" s="2" t="s">
        <v>68</v>
      </c>
      <c r="D195" s="2"/>
      <c r="E195" s="2" t="s">
        <v>10</v>
      </c>
      <c r="F195" s="2" t="s">
        <v>11</v>
      </c>
      <c r="G195" s="2" t="s">
        <v>12</v>
      </c>
      <c r="H195" s="2" t="s">
        <v>13</v>
      </c>
      <c r="I195" s="5"/>
      <c r="J195" s="2" t="s">
        <v>69</v>
      </c>
      <c r="K195" s="2" t="s">
        <v>17</v>
      </c>
    </row>
    <row r="196" spans="1:11" x14ac:dyDescent="0.25">
      <c r="A196" s="3">
        <v>45400</v>
      </c>
      <c r="B196" s="11"/>
      <c r="C196" s="2" t="s">
        <v>70</v>
      </c>
      <c r="D196" s="2"/>
      <c r="E196" s="2" t="s">
        <v>10</v>
      </c>
      <c r="F196" s="2" t="s">
        <v>11</v>
      </c>
      <c r="G196" s="2" t="s">
        <v>12</v>
      </c>
      <c r="H196" s="2" t="s">
        <v>13</v>
      </c>
      <c r="I196" s="5"/>
      <c r="J196" s="2" t="s">
        <v>71</v>
      </c>
      <c r="K196" s="2" t="s">
        <v>34</v>
      </c>
    </row>
    <row r="197" spans="1:11" x14ac:dyDescent="0.25">
      <c r="A197" s="3">
        <v>45427</v>
      </c>
      <c r="B197" s="11"/>
      <c r="C197" s="2" t="s">
        <v>72</v>
      </c>
      <c r="D197" s="2"/>
      <c r="E197" s="2" t="s">
        <v>10</v>
      </c>
      <c r="F197" s="2" t="s">
        <v>11</v>
      </c>
      <c r="G197" s="2" t="s">
        <v>12</v>
      </c>
      <c r="H197" s="2" t="s">
        <v>37</v>
      </c>
      <c r="I197" s="5"/>
      <c r="J197" s="2" t="s">
        <v>73</v>
      </c>
      <c r="K197" s="2" t="s">
        <v>17</v>
      </c>
    </row>
    <row r="198" spans="1:11" hidden="1" x14ac:dyDescent="0.25">
      <c r="A198" s="3">
        <v>45444</v>
      </c>
      <c r="B198" s="11"/>
      <c r="C198" s="2" t="s">
        <v>77</v>
      </c>
      <c r="D198" s="2"/>
      <c r="E198" s="2" t="s">
        <v>10</v>
      </c>
      <c r="F198" s="2" t="s">
        <v>11</v>
      </c>
      <c r="G198" s="2" t="s">
        <v>12</v>
      </c>
      <c r="H198" s="2" t="s">
        <v>14</v>
      </c>
      <c r="I198" s="5"/>
      <c r="J198" s="2" t="s">
        <v>78</v>
      </c>
      <c r="K198" s="2" t="s">
        <v>67</v>
      </c>
    </row>
    <row r="199" spans="1:11" x14ac:dyDescent="0.25">
      <c r="A199" s="3">
        <v>45468</v>
      </c>
      <c r="B199" s="11"/>
      <c r="C199" s="2" t="s">
        <v>80</v>
      </c>
      <c r="D199" s="2"/>
      <c r="E199" s="2" t="s">
        <v>10</v>
      </c>
      <c r="F199" s="2" t="s">
        <v>11</v>
      </c>
      <c r="G199" s="2" t="s">
        <v>12</v>
      </c>
      <c r="H199" s="2" t="s">
        <v>37</v>
      </c>
      <c r="I199" s="5"/>
      <c r="J199" s="2" t="s">
        <v>81</v>
      </c>
      <c r="K199" s="2" t="s">
        <v>29</v>
      </c>
    </row>
    <row r="200" spans="1:11" x14ac:dyDescent="0.25">
      <c r="A200" s="3">
        <v>45475</v>
      </c>
      <c r="B200" s="11"/>
      <c r="C200" s="2" t="s">
        <v>82</v>
      </c>
      <c r="D200" s="2"/>
      <c r="E200" s="2" t="s">
        <v>10</v>
      </c>
      <c r="F200" s="2" t="s">
        <v>11</v>
      </c>
      <c r="G200" s="2" t="s">
        <v>12</v>
      </c>
      <c r="H200" s="2" t="s">
        <v>37</v>
      </c>
      <c r="I200" s="5"/>
      <c r="J200" s="2" t="s">
        <v>83</v>
      </c>
      <c r="K200" s="2" t="s">
        <v>15</v>
      </c>
    </row>
    <row r="201" spans="1:11" x14ac:dyDescent="0.25">
      <c r="A201" s="3">
        <v>45484</v>
      </c>
      <c r="B201" s="11"/>
      <c r="C201" s="13" t="s">
        <v>32</v>
      </c>
      <c r="D201" s="2"/>
      <c r="E201" s="2" t="s">
        <v>10</v>
      </c>
      <c r="F201" s="2" t="s">
        <v>43</v>
      </c>
      <c r="G201" s="2" t="s">
        <v>12</v>
      </c>
      <c r="H201" s="2" t="s">
        <v>13</v>
      </c>
      <c r="I201" s="5"/>
      <c r="J201" s="2" t="s">
        <v>84</v>
      </c>
      <c r="K201" s="2" t="s">
        <v>34</v>
      </c>
    </row>
    <row r="202" spans="1:11" x14ac:dyDescent="0.25">
      <c r="A202" s="3">
        <v>45487</v>
      </c>
      <c r="B202" s="11"/>
      <c r="C202" s="2" t="s">
        <v>40</v>
      </c>
      <c r="D202" s="2"/>
      <c r="E202" s="2" t="s">
        <v>10</v>
      </c>
      <c r="F202" s="2" t="s">
        <v>11</v>
      </c>
      <c r="G202" s="2" t="s">
        <v>41</v>
      </c>
      <c r="H202" s="2" t="s">
        <v>26</v>
      </c>
      <c r="I202" s="5"/>
      <c r="J202" s="2" t="s">
        <v>85</v>
      </c>
      <c r="K202" s="2" t="s">
        <v>17</v>
      </c>
    </row>
    <row r="203" spans="1:11" x14ac:dyDescent="0.25">
      <c r="A203" s="3">
        <v>45491</v>
      </c>
      <c r="B203" s="11"/>
      <c r="C203" s="2" t="s">
        <v>86</v>
      </c>
      <c r="D203" s="2"/>
      <c r="E203" s="2" t="s">
        <v>10</v>
      </c>
      <c r="F203" s="2" t="s">
        <v>11</v>
      </c>
      <c r="G203" s="2" t="s">
        <v>12</v>
      </c>
      <c r="H203" s="2" t="s">
        <v>37</v>
      </c>
      <c r="I203" s="5"/>
      <c r="J203" s="2" t="s">
        <v>88</v>
      </c>
      <c r="K203" s="2" t="s">
        <v>17</v>
      </c>
    </row>
    <row r="204" spans="1:11" x14ac:dyDescent="0.25">
      <c r="A204" s="3">
        <v>45491</v>
      </c>
      <c r="B204" s="11"/>
      <c r="C204" s="2" t="s">
        <v>86</v>
      </c>
      <c r="D204" s="2"/>
      <c r="E204" s="2" t="s">
        <v>10</v>
      </c>
      <c r="F204" s="2" t="s">
        <v>11</v>
      </c>
      <c r="G204" s="2" t="s">
        <v>12</v>
      </c>
      <c r="H204" s="2" t="s">
        <v>37</v>
      </c>
      <c r="I204" s="5"/>
      <c r="J204" s="2" t="s">
        <v>89</v>
      </c>
      <c r="K204" s="2" t="s">
        <v>17</v>
      </c>
    </row>
    <row r="205" spans="1:11" hidden="1" x14ac:dyDescent="0.25">
      <c r="A205" s="3">
        <v>45500</v>
      </c>
      <c r="B205" s="11"/>
      <c r="C205" s="2" t="s">
        <v>91</v>
      </c>
      <c r="D205" s="2"/>
      <c r="E205" s="2" t="s">
        <v>10</v>
      </c>
      <c r="F205" s="2" t="s">
        <v>11</v>
      </c>
      <c r="G205" s="2" t="s">
        <v>19</v>
      </c>
      <c r="H205" s="2" t="s">
        <v>37</v>
      </c>
      <c r="I205" s="5"/>
      <c r="J205" s="2" t="s">
        <v>92</v>
      </c>
      <c r="K205" s="2" t="s">
        <v>29</v>
      </c>
    </row>
    <row r="206" spans="1:11" x14ac:dyDescent="0.25">
      <c r="A206" s="3">
        <v>45506</v>
      </c>
      <c r="B206" s="11"/>
      <c r="C206" s="2" t="s">
        <v>9</v>
      </c>
      <c r="D206" s="2"/>
      <c r="E206" s="2" t="s">
        <v>10</v>
      </c>
      <c r="F206" s="2" t="s">
        <v>11</v>
      </c>
      <c r="G206" s="2" t="s">
        <v>12</v>
      </c>
      <c r="H206" s="2" t="s">
        <v>13</v>
      </c>
      <c r="I206" s="5"/>
      <c r="J206" s="2" t="s">
        <v>94</v>
      </c>
      <c r="K206" s="2" t="s">
        <v>15</v>
      </c>
    </row>
    <row r="207" spans="1:11" x14ac:dyDescent="0.25">
      <c r="A207" s="3">
        <v>45508</v>
      </c>
      <c r="B207" s="11"/>
      <c r="C207" s="2" t="s">
        <v>86</v>
      </c>
      <c r="D207" s="2"/>
      <c r="E207" s="2" t="s">
        <v>10</v>
      </c>
      <c r="F207" s="2" t="s">
        <v>11</v>
      </c>
      <c r="G207" s="2" t="s">
        <v>12</v>
      </c>
      <c r="H207" s="2" t="s">
        <v>37</v>
      </c>
      <c r="I207" s="5"/>
      <c r="J207" s="2" t="s">
        <v>95</v>
      </c>
      <c r="K207" s="2" t="s">
        <v>17</v>
      </c>
    </row>
    <row r="208" spans="1:11" x14ac:dyDescent="0.25">
      <c r="A208" s="3">
        <v>45512</v>
      </c>
      <c r="B208" s="11"/>
      <c r="C208" s="2" t="s">
        <v>96</v>
      </c>
      <c r="D208" s="2"/>
      <c r="E208" s="2" t="s">
        <v>10</v>
      </c>
      <c r="F208" s="2" t="s">
        <v>11</v>
      </c>
      <c r="G208" s="2" t="s">
        <v>12</v>
      </c>
      <c r="H208" s="2" t="s">
        <v>37</v>
      </c>
      <c r="I208" s="5"/>
      <c r="J208" s="2" t="s">
        <v>97</v>
      </c>
      <c r="K208" s="2" t="s">
        <v>67</v>
      </c>
    </row>
    <row r="209" spans="1:11" x14ac:dyDescent="0.25">
      <c r="A209" s="3">
        <v>45513</v>
      </c>
      <c r="B209" s="11">
        <v>6</v>
      </c>
      <c r="C209" s="2" t="s">
        <v>32</v>
      </c>
      <c r="D209" s="2"/>
      <c r="E209" s="2" t="s">
        <v>10</v>
      </c>
      <c r="F209" s="2" t="s">
        <v>11</v>
      </c>
      <c r="G209" s="2" t="s">
        <v>12</v>
      </c>
      <c r="H209" s="2" t="s">
        <v>13</v>
      </c>
      <c r="I209" s="5"/>
      <c r="J209" s="2" t="s">
        <v>98</v>
      </c>
      <c r="K209" s="2" t="s">
        <v>34</v>
      </c>
    </row>
    <row r="210" spans="1:11" hidden="1" x14ac:dyDescent="0.25">
      <c r="A210" s="3">
        <v>45530</v>
      </c>
      <c r="B210" s="11"/>
      <c r="C210" s="2" t="s">
        <v>23</v>
      </c>
      <c r="D210" s="2"/>
      <c r="E210" s="2" t="s">
        <v>10</v>
      </c>
      <c r="F210" s="2" t="s">
        <v>11</v>
      </c>
      <c r="G210" s="2" t="s">
        <v>19</v>
      </c>
      <c r="H210" s="2" t="s">
        <v>13</v>
      </c>
      <c r="I210" s="5"/>
      <c r="J210" s="2" t="s">
        <v>100</v>
      </c>
      <c r="K210" s="2" t="s">
        <v>17</v>
      </c>
    </row>
    <row r="211" spans="1:11" x14ac:dyDescent="0.25">
      <c r="A211" s="3">
        <v>45534</v>
      </c>
      <c r="B211" s="11"/>
      <c r="C211" s="2" t="s">
        <v>44</v>
      </c>
      <c r="D211" s="2"/>
      <c r="E211" s="2" t="s">
        <v>10</v>
      </c>
      <c r="F211" s="2" t="s">
        <v>11</v>
      </c>
      <c r="G211" s="2" t="s">
        <v>12</v>
      </c>
      <c r="H211" s="2" t="s">
        <v>62</v>
      </c>
      <c r="I211" s="5"/>
      <c r="J211" s="2" t="s">
        <v>101</v>
      </c>
      <c r="K211" s="2" t="s">
        <v>29</v>
      </c>
    </row>
    <row r="212" spans="1:11" hidden="1" x14ac:dyDescent="0.25">
      <c r="A212" s="3">
        <v>45535</v>
      </c>
      <c r="B212" s="11"/>
      <c r="C212" s="2" t="s">
        <v>102</v>
      </c>
      <c r="D212" s="2"/>
      <c r="E212" s="2" t="s">
        <v>10</v>
      </c>
      <c r="F212" s="2" t="s">
        <v>11</v>
      </c>
      <c r="G212" s="2" t="s">
        <v>103</v>
      </c>
      <c r="H212" s="2" t="s">
        <v>14</v>
      </c>
      <c r="I212" s="5"/>
      <c r="J212" s="2" t="s">
        <v>104</v>
      </c>
      <c r="K212" s="2" t="s">
        <v>67</v>
      </c>
    </row>
    <row r="213" spans="1:11" hidden="1" x14ac:dyDescent="0.25">
      <c r="A213" s="3">
        <v>45550</v>
      </c>
      <c r="B213" s="11"/>
      <c r="C213" s="2" t="s">
        <v>77</v>
      </c>
      <c r="D213" s="2"/>
      <c r="E213" s="2" t="s">
        <v>10</v>
      </c>
      <c r="F213" s="2" t="s">
        <v>11</v>
      </c>
      <c r="G213" s="2" t="s">
        <v>12</v>
      </c>
      <c r="H213" s="2" t="s">
        <v>14</v>
      </c>
      <c r="I213" s="5"/>
      <c r="J213" s="2" t="s">
        <v>105</v>
      </c>
      <c r="K213" s="2" t="s">
        <v>67</v>
      </c>
    </row>
    <row r="214" spans="1:11" x14ac:dyDescent="0.25">
      <c r="A214" s="3">
        <v>45573</v>
      </c>
      <c r="B214" s="11"/>
      <c r="C214" s="2" t="s">
        <v>58</v>
      </c>
      <c r="D214" s="2"/>
      <c r="E214" s="2" t="s">
        <v>10</v>
      </c>
      <c r="F214" s="2" t="s">
        <v>11</v>
      </c>
      <c r="G214" s="2" t="s">
        <v>12</v>
      </c>
      <c r="H214" s="2" t="s">
        <v>13</v>
      </c>
      <c r="I214" s="5"/>
      <c r="J214" s="2" t="s">
        <v>106</v>
      </c>
      <c r="K214" s="2" t="s">
        <v>34</v>
      </c>
    </row>
    <row r="215" spans="1:11" x14ac:dyDescent="0.25">
      <c r="A215" s="3">
        <v>45573</v>
      </c>
      <c r="B215" s="11"/>
      <c r="C215" s="2" t="s">
        <v>9</v>
      </c>
      <c r="D215" s="2"/>
      <c r="E215" s="2" t="s">
        <v>10</v>
      </c>
      <c r="F215" s="2" t="s">
        <v>11</v>
      </c>
      <c r="G215" s="2" t="s">
        <v>103</v>
      </c>
      <c r="H215" s="2" t="s">
        <v>13</v>
      </c>
      <c r="I215" s="5"/>
      <c r="J215" s="2" t="s">
        <v>107</v>
      </c>
      <c r="K215" s="2" t="s">
        <v>15</v>
      </c>
    </row>
    <row r="216" spans="1:11" x14ac:dyDescent="0.25">
      <c r="A216" s="3">
        <v>45573</v>
      </c>
      <c r="B216" s="11">
        <v>7</v>
      </c>
      <c r="C216" s="2" t="s">
        <v>32</v>
      </c>
      <c r="D216" s="2"/>
      <c r="E216" s="2" t="s">
        <v>10</v>
      </c>
      <c r="F216" s="2" t="s">
        <v>11</v>
      </c>
      <c r="G216" s="2" t="s">
        <v>12</v>
      </c>
      <c r="H216" s="2" t="s">
        <v>13</v>
      </c>
      <c r="I216" s="5"/>
      <c r="J216" s="2" t="s">
        <v>108</v>
      </c>
      <c r="K216" s="2" t="s">
        <v>34</v>
      </c>
    </row>
    <row r="217" spans="1:11" x14ac:dyDescent="0.25">
      <c r="A217" s="3">
        <v>45590</v>
      </c>
      <c r="B217" s="11"/>
      <c r="C217" s="2" t="s">
        <v>109</v>
      </c>
      <c r="D217" s="2"/>
      <c r="E217" s="2" t="s">
        <v>10</v>
      </c>
      <c r="F217" s="2" t="s">
        <v>11</v>
      </c>
      <c r="G217" s="2" t="s">
        <v>12</v>
      </c>
      <c r="H217" s="2" t="s">
        <v>37</v>
      </c>
      <c r="I217" s="5"/>
      <c r="J217" s="2" t="s">
        <v>110</v>
      </c>
      <c r="K217" s="2" t="s">
        <v>29</v>
      </c>
    </row>
    <row r="218" spans="1:11" x14ac:dyDescent="0.25">
      <c r="A218" s="3">
        <v>45591</v>
      </c>
      <c r="B218" s="11"/>
      <c r="C218" s="2" t="s">
        <v>109</v>
      </c>
      <c r="D218" s="2"/>
      <c r="E218" s="2" t="s">
        <v>10</v>
      </c>
      <c r="F218" s="2" t="s">
        <v>11</v>
      </c>
      <c r="G218" s="2" t="s">
        <v>12</v>
      </c>
      <c r="H218" s="2" t="s">
        <v>37</v>
      </c>
      <c r="I218" s="5"/>
      <c r="J218" s="2" t="s">
        <v>111</v>
      </c>
      <c r="K218" s="2" t="s">
        <v>29</v>
      </c>
    </row>
    <row r="219" spans="1:11" x14ac:dyDescent="0.25">
      <c r="A219" s="3">
        <v>45597</v>
      </c>
      <c r="B219" s="11"/>
      <c r="C219" s="2" t="s">
        <v>112</v>
      </c>
      <c r="D219" s="2"/>
      <c r="E219" s="2" t="s">
        <v>10</v>
      </c>
      <c r="F219" s="2" t="s">
        <v>11</v>
      </c>
      <c r="G219" s="2" t="s">
        <v>12</v>
      </c>
      <c r="H219" s="2" t="s">
        <v>13</v>
      </c>
      <c r="I219" s="5"/>
      <c r="J219" s="2" t="s">
        <v>113</v>
      </c>
      <c r="K219" s="2" t="s">
        <v>29</v>
      </c>
    </row>
    <row r="220" spans="1:11" x14ac:dyDescent="0.25">
      <c r="A220" s="3">
        <v>45615</v>
      </c>
      <c r="B220" s="11"/>
      <c r="C220" s="2" t="s">
        <v>23</v>
      </c>
      <c r="D220" s="2"/>
      <c r="E220" s="2" t="s">
        <v>10</v>
      </c>
      <c r="F220" s="2" t="s">
        <v>11</v>
      </c>
      <c r="G220" s="2" t="s">
        <v>12</v>
      </c>
      <c r="H220" s="2" t="s">
        <v>13</v>
      </c>
      <c r="I220" s="5"/>
      <c r="J220" s="2" t="s">
        <v>114</v>
      </c>
      <c r="K220" s="2" t="s">
        <v>17</v>
      </c>
    </row>
    <row r="221" spans="1:11" hidden="1" x14ac:dyDescent="0.25">
      <c r="A221" s="3">
        <v>45619</v>
      </c>
      <c r="B221" s="11"/>
      <c r="C221" s="2" t="s">
        <v>96</v>
      </c>
      <c r="D221" s="2"/>
      <c r="E221" s="2" t="s">
        <v>10</v>
      </c>
      <c r="F221" s="2" t="s">
        <v>11</v>
      </c>
      <c r="G221" s="2" t="s">
        <v>12</v>
      </c>
      <c r="H221" s="2" t="s">
        <v>14</v>
      </c>
      <c r="I221" s="5"/>
      <c r="J221" s="2" t="s">
        <v>115</v>
      </c>
      <c r="K221" s="2" t="s">
        <v>67</v>
      </c>
    </row>
    <row r="222" spans="1:11" x14ac:dyDescent="0.25">
      <c r="A222" s="3">
        <v>45639</v>
      </c>
      <c r="B222" s="11">
        <v>10</v>
      </c>
      <c r="C222" s="2" t="s">
        <v>32</v>
      </c>
      <c r="D222" s="2"/>
      <c r="E222" s="2" t="s">
        <v>10</v>
      </c>
      <c r="F222" s="2" t="s">
        <v>11</v>
      </c>
      <c r="G222" s="2" t="s">
        <v>12</v>
      </c>
      <c r="H222" s="2" t="s">
        <v>13</v>
      </c>
      <c r="I222" s="5"/>
      <c r="J222" s="2" t="s">
        <v>116</v>
      </c>
      <c r="K222" s="2" t="s">
        <v>34</v>
      </c>
    </row>
    <row r="223" spans="1:11" x14ac:dyDescent="0.25">
      <c r="A223" s="3">
        <v>45657</v>
      </c>
      <c r="B223" s="11">
        <v>0</v>
      </c>
      <c r="C223" s="2" t="s">
        <v>117</v>
      </c>
      <c r="D223" s="2"/>
      <c r="E223" s="2" t="s">
        <v>10</v>
      </c>
      <c r="F223" s="2" t="s">
        <v>11</v>
      </c>
      <c r="G223" s="2" t="s">
        <v>12</v>
      </c>
      <c r="H223" s="2" t="s">
        <v>13</v>
      </c>
      <c r="I223" s="5"/>
      <c r="J223" s="2" t="s">
        <v>118</v>
      </c>
      <c r="K223" s="2" t="s">
        <v>34</v>
      </c>
    </row>
    <row r="224" spans="1:11" x14ac:dyDescent="0.25">
      <c r="C224" s="5"/>
      <c r="D224" s="5"/>
      <c r="E224" s="5"/>
      <c r="F224" s="5"/>
      <c r="G224" s="5"/>
      <c r="H224" s="5"/>
      <c r="I224" s="5"/>
      <c r="J224" s="5"/>
      <c r="K224" s="5"/>
    </row>
    <row r="225" spans="3:11" x14ac:dyDescent="0.25">
      <c r="C225" s="5"/>
      <c r="D225" s="5"/>
      <c r="E225" s="5"/>
      <c r="F225" s="5"/>
      <c r="G225" s="5"/>
      <c r="H225" s="5"/>
      <c r="I225" s="5"/>
      <c r="J225" s="5"/>
      <c r="K225" s="5"/>
    </row>
    <row r="226" spans="3:11" x14ac:dyDescent="0.25">
      <c r="C226" s="5"/>
      <c r="D226" s="5"/>
      <c r="E226" s="5"/>
      <c r="F226" s="5"/>
      <c r="G226" s="5"/>
      <c r="H226" s="5"/>
      <c r="I226" s="5"/>
      <c r="J226" s="5"/>
      <c r="K226" s="5"/>
    </row>
    <row r="227" spans="3:11" x14ac:dyDescent="0.25">
      <c r="C227" s="5"/>
      <c r="D227" s="5"/>
      <c r="E227" s="5"/>
      <c r="F227" s="5"/>
      <c r="G227" s="5"/>
      <c r="H227" s="5"/>
      <c r="I227" s="5"/>
      <c r="J227" s="5"/>
      <c r="K227" s="5"/>
    </row>
    <row r="228" spans="3:11" x14ac:dyDescent="0.25">
      <c r="C228" s="5"/>
      <c r="D228" s="5"/>
      <c r="E228" s="5"/>
      <c r="F228" s="5"/>
      <c r="G228" s="5"/>
      <c r="H228" s="5"/>
      <c r="I228" s="5"/>
      <c r="J228" s="5"/>
      <c r="K228" s="5"/>
    </row>
    <row r="229" spans="3:11" x14ac:dyDescent="0.25">
      <c r="C229" s="5"/>
      <c r="D229" s="5"/>
      <c r="E229" s="5"/>
      <c r="F229" s="5"/>
      <c r="G229" s="5"/>
      <c r="H229" s="5"/>
      <c r="I229" s="5"/>
      <c r="J229" s="5"/>
      <c r="K229" s="5"/>
    </row>
    <row r="230" spans="3:11" x14ac:dyDescent="0.25">
      <c r="C230" s="5"/>
      <c r="D230" s="5"/>
      <c r="E230" s="5"/>
      <c r="F230" s="5"/>
      <c r="G230" s="5"/>
      <c r="H230" s="5"/>
      <c r="I230" s="5"/>
      <c r="J230" s="5"/>
      <c r="K230" s="5"/>
    </row>
    <row r="231" spans="3:11" x14ac:dyDescent="0.25">
      <c r="C231" s="5"/>
      <c r="D231" s="5"/>
      <c r="E231" s="5"/>
      <c r="F231" s="5"/>
      <c r="G231" s="5"/>
      <c r="H231" s="5"/>
      <c r="I231" s="5"/>
      <c r="J231" s="5"/>
      <c r="K231" s="5"/>
    </row>
    <row r="232" spans="3:11" x14ac:dyDescent="0.25">
      <c r="C232" s="5"/>
      <c r="D232" s="5"/>
      <c r="E232" s="5"/>
      <c r="F232" s="5"/>
      <c r="G232" s="5"/>
      <c r="H232" s="5"/>
      <c r="I232" s="5"/>
      <c r="J232" s="5"/>
      <c r="K232" s="5"/>
    </row>
    <row r="233" spans="3:11" x14ac:dyDescent="0.25">
      <c r="C233" s="5"/>
      <c r="D233" s="5"/>
      <c r="E233" s="5"/>
      <c r="F233" s="5"/>
      <c r="G233" s="5"/>
      <c r="H233" s="5"/>
      <c r="I233" s="5"/>
      <c r="J233" s="5"/>
      <c r="K233" s="5"/>
    </row>
    <row r="234" spans="3:11" x14ac:dyDescent="0.25">
      <c r="C234" s="5"/>
      <c r="D234" s="5"/>
      <c r="E234" s="5"/>
      <c r="F234" s="5"/>
      <c r="G234" s="5"/>
      <c r="H234" s="5"/>
      <c r="I234" s="5"/>
      <c r="J234" s="5"/>
      <c r="K234" s="5"/>
    </row>
    <row r="235" spans="3:11" x14ac:dyDescent="0.25">
      <c r="C235" s="5"/>
      <c r="D235" s="5"/>
      <c r="E235" s="5"/>
      <c r="F235" s="5"/>
      <c r="G235" s="5"/>
      <c r="H235" s="5"/>
      <c r="I235" s="5"/>
      <c r="J235" s="5"/>
      <c r="K235" s="5"/>
    </row>
    <row r="236" spans="3:11" x14ac:dyDescent="0.25">
      <c r="C236" s="5"/>
      <c r="D236" s="5"/>
      <c r="E236" s="5"/>
      <c r="F236" s="5"/>
      <c r="G236" s="5"/>
      <c r="H236" s="5"/>
      <c r="I236" s="5"/>
      <c r="J236" s="5"/>
      <c r="K236" s="5"/>
    </row>
    <row r="237" spans="3:11" x14ac:dyDescent="0.25">
      <c r="C237" s="5"/>
      <c r="D237" s="5"/>
      <c r="E237" s="5"/>
      <c r="F237" s="5"/>
      <c r="G237" s="5"/>
      <c r="H237" s="5"/>
      <c r="I237" s="5"/>
      <c r="J237" s="5"/>
      <c r="K237" s="5"/>
    </row>
    <row r="238" spans="3:11" x14ac:dyDescent="0.25">
      <c r="C238" s="5"/>
      <c r="D238" s="5"/>
      <c r="E238" s="5"/>
      <c r="F238" s="5"/>
      <c r="G238" s="5"/>
      <c r="H238" s="5"/>
      <c r="I238" s="5"/>
      <c r="J238" s="5"/>
      <c r="K238" s="5"/>
    </row>
    <row r="239" spans="3:11" x14ac:dyDescent="0.25">
      <c r="C239" s="5"/>
      <c r="D239" s="5"/>
      <c r="E239" s="5"/>
      <c r="F239" s="5"/>
      <c r="G239" s="5"/>
      <c r="H239" s="5"/>
      <c r="I239" s="5"/>
      <c r="J239" s="5"/>
      <c r="K239" s="5"/>
    </row>
    <row r="240" spans="3:11" x14ac:dyDescent="0.25">
      <c r="C240" s="5"/>
      <c r="D240" s="5"/>
      <c r="E240" s="5"/>
      <c r="F240" s="5"/>
      <c r="G240" s="5"/>
      <c r="H240" s="5"/>
      <c r="I240" s="5"/>
      <c r="J240" s="5"/>
      <c r="K240" s="5"/>
    </row>
    <row r="241" spans="3:11" x14ac:dyDescent="0.25">
      <c r="C241" s="5"/>
      <c r="D241" s="5"/>
      <c r="E241" s="5"/>
      <c r="F241" s="5"/>
      <c r="G241" s="5"/>
      <c r="H241" s="5"/>
      <c r="I241" s="5"/>
      <c r="J241" s="5"/>
      <c r="K241" s="5"/>
    </row>
    <row r="242" spans="3:11" x14ac:dyDescent="0.25">
      <c r="C242" s="5"/>
      <c r="D242" s="5"/>
      <c r="E242" s="5"/>
      <c r="F242" s="5"/>
      <c r="G242" s="5"/>
      <c r="H242" s="5"/>
      <c r="I242" s="5"/>
      <c r="J242" s="5"/>
      <c r="K242" s="5"/>
    </row>
    <row r="243" spans="3:11" x14ac:dyDescent="0.25">
      <c r="C243" s="5"/>
      <c r="D243" s="5"/>
      <c r="E243" s="5"/>
      <c r="F243" s="5"/>
      <c r="G243" s="5"/>
      <c r="H243" s="5"/>
      <c r="I243" s="5"/>
      <c r="J243" s="5"/>
      <c r="K243" s="5"/>
    </row>
    <row r="244" spans="3:11" x14ac:dyDescent="0.25">
      <c r="C244" s="5"/>
      <c r="D244" s="5"/>
      <c r="E244" s="5"/>
      <c r="F244" s="5"/>
      <c r="G244" s="5"/>
      <c r="H244" s="5"/>
      <c r="I244" s="5"/>
      <c r="J244" s="5"/>
      <c r="K244" s="5"/>
    </row>
    <row r="245" spans="3:11" x14ac:dyDescent="0.25">
      <c r="C245" s="5"/>
      <c r="D245" s="5"/>
      <c r="E245" s="5"/>
      <c r="F245" s="5"/>
      <c r="G245" s="5"/>
      <c r="H245" s="5"/>
      <c r="I245" s="5"/>
      <c r="J245" s="5"/>
      <c r="K245" s="5"/>
    </row>
    <row r="246" spans="3:11" x14ac:dyDescent="0.25">
      <c r="C246" s="5"/>
      <c r="D246" s="5"/>
      <c r="E246" s="5"/>
      <c r="F246" s="5"/>
      <c r="G246" s="5"/>
      <c r="H246" s="5"/>
      <c r="I246" s="5"/>
      <c r="J246" s="5"/>
      <c r="K246" s="5"/>
    </row>
    <row r="247" spans="3:11" x14ac:dyDescent="0.25">
      <c r="C247" s="5"/>
      <c r="D247" s="5"/>
      <c r="E247" s="5"/>
      <c r="F247" s="5"/>
      <c r="G247" s="5"/>
      <c r="H247" s="5"/>
      <c r="I247" s="5"/>
      <c r="J247" s="5"/>
      <c r="K247" s="5"/>
    </row>
    <row r="248" spans="3:11" x14ac:dyDescent="0.25">
      <c r="C248" s="5"/>
      <c r="D248" s="5"/>
      <c r="E248" s="5"/>
      <c r="F248" s="5"/>
      <c r="G248" s="5"/>
      <c r="H248" s="5"/>
      <c r="I248" s="5"/>
      <c r="J248" s="5"/>
      <c r="K248" s="5"/>
    </row>
    <row r="249" spans="3:11" x14ac:dyDescent="0.25">
      <c r="C249" s="5"/>
      <c r="D249" s="5"/>
      <c r="E249" s="5"/>
      <c r="F249" s="5"/>
      <c r="G249" s="5"/>
      <c r="H249" s="5"/>
      <c r="I249" s="5"/>
      <c r="J249" s="5"/>
      <c r="K249" s="5"/>
    </row>
    <row r="250" spans="3:11" x14ac:dyDescent="0.25">
      <c r="C250" s="5"/>
      <c r="D250" s="5"/>
      <c r="E250" s="5"/>
      <c r="F250" s="5"/>
      <c r="G250" s="5"/>
      <c r="H250" s="5"/>
      <c r="I250" s="5"/>
      <c r="J250" s="5"/>
      <c r="K250" s="5"/>
    </row>
    <row r="251" spans="3:11" x14ac:dyDescent="0.25">
      <c r="C251" s="5"/>
      <c r="D251" s="5"/>
      <c r="E251" s="5"/>
      <c r="F251" s="5"/>
      <c r="G251" s="5"/>
      <c r="H251" s="5"/>
      <c r="I251" s="5"/>
      <c r="J251" s="5"/>
      <c r="K251" s="5"/>
    </row>
    <row r="252" spans="3:11" x14ac:dyDescent="0.25">
      <c r="C252" s="5"/>
      <c r="D252" s="5"/>
      <c r="E252" s="5"/>
      <c r="F252" s="5"/>
      <c r="G252" s="5"/>
      <c r="H252" s="5"/>
      <c r="I252" s="5"/>
      <c r="J252" s="5"/>
      <c r="K252" s="5"/>
    </row>
    <row r="253" spans="3:11" x14ac:dyDescent="0.25">
      <c r="C253" s="5"/>
      <c r="D253" s="5"/>
      <c r="E253" s="5"/>
      <c r="F253" s="5"/>
      <c r="G253" s="5"/>
      <c r="H253" s="5"/>
      <c r="I253" s="5"/>
      <c r="J253" s="5"/>
      <c r="K253" s="5"/>
    </row>
    <row r="254" spans="3:11" x14ac:dyDescent="0.25">
      <c r="C254" s="5"/>
      <c r="D254" s="5"/>
      <c r="E254" s="5"/>
      <c r="F254" s="5"/>
      <c r="G254" s="5"/>
      <c r="H254" s="5"/>
      <c r="I254" s="5"/>
      <c r="J254" s="5"/>
      <c r="K254" s="5"/>
    </row>
    <row r="255" spans="3:11" x14ac:dyDescent="0.25">
      <c r="C255" s="5"/>
      <c r="D255" s="5"/>
      <c r="E255" s="5"/>
      <c r="F255" s="5"/>
      <c r="G255" s="5"/>
      <c r="H255" s="5"/>
      <c r="I255" s="5"/>
      <c r="J255" s="5"/>
      <c r="K255" s="5"/>
    </row>
    <row r="256" spans="3:11" x14ac:dyDescent="0.25">
      <c r="C256" s="5"/>
      <c r="D256" s="5"/>
      <c r="E256" s="5"/>
      <c r="F256" s="5"/>
      <c r="G256" s="5"/>
      <c r="H256" s="5"/>
      <c r="I256" s="5"/>
      <c r="J256" s="5"/>
      <c r="K256" s="5"/>
    </row>
    <row r="257" spans="3:11" x14ac:dyDescent="0.25">
      <c r="C257" s="5"/>
      <c r="D257" s="5"/>
      <c r="E257" s="5"/>
      <c r="F257" s="5"/>
      <c r="G257" s="5"/>
      <c r="H257" s="5"/>
      <c r="I257" s="5"/>
      <c r="J257" s="5"/>
      <c r="K257" s="5"/>
    </row>
    <row r="258" spans="3:11" x14ac:dyDescent="0.25">
      <c r="C258" s="5"/>
      <c r="D258" s="5"/>
      <c r="E258" s="5"/>
      <c r="F258" s="5"/>
      <c r="G258" s="5"/>
      <c r="H258" s="5"/>
      <c r="I258" s="5"/>
      <c r="J258" s="5"/>
      <c r="K258" s="5"/>
    </row>
    <row r="259" spans="3:11" x14ac:dyDescent="0.25">
      <c r="C259" s="5"/>
      <c r="D259" s="5"/>
      <c r="E259" s="5"/>
      <c r="F259" s="5"/>
      <c r="G259" s="5"/>
      <c r="H259" s="5"/>
      <c r="I259" s="5"/>
      <c r="J259" s="5"/>
      <c r="K259" s="5"/>
    </row>
    <row r="260" spans="3:11" x14ac:dyDescent="0.25">
      <c r="C260" s="5"/>
      <c r="D260" s="5"/>
      <c r="E260" s="5"/>
      <c r="F260" s="5"/>
      <c r="G260" s="5"/>
      <c r="H260" s="5"/>
      <c r="I260" s="5"/>
      <c r="J260" s="5"/>
      <c r="K260" s="5"/>
    </row>
    <row r="261" spans="3:11" x14ac:dyDescent="0.25">
      <c r="C261" s="5"/>
      <c r="D261" s="5"/>
      <c r="E261" s="5"/>
      <c r="F261" s="5"/>
      <c r="G261" s="5"/>
      <c r="H261" s="5"/>
      <c r="I261" s="5"/>
      <c r="J261" s="5"/>
      <c r="K261" s="5"/>
    </row>
    <row r="262" spans="3:11" x14ac:dyDescent="0.25">
      <c r="C262" s="5"/>
      <c r="D262" s="5"/>
      <c r="E262" s="5"/>
      <c r="F262" s="5"/>
      <c r="G262" s="5"/>
      <c r="H262" s="5"/>
      <c r="I262" s="5"/>
      <c r="J262" s="5"/>
      <c r="K262" s="5"/>
    </row>
    <row r="263" spans="3:11" x14ac:dyDescent="0.25">
      <c r="C263" s="5"/>
      <c r="D263" s="5"/>
      <c r="E263" s="5"/>
      <c r="F263" s="5"/>
      <c r="G263" s="5"/>
      <c r="H263" s="5"/>
      <c r="I263" s="5"/>
      <c r="J263" s="5"/>
      <c r="K263" s="5"/>
    </row>
    <row r="264" spans="3:11" x14ac:dyDescent="0.25">
      <c r="C264" s="5"/>
      <c r="D264" s="5"/>
      <c r="E264" s="5"/>
      <c r="F264" s="5"/>
      <c r="G264" s="5"/>
      <c r="H264" s="5"/>
      <c r="I264" s="5"/>
      <c r="J264" s="5"/>
      <c r="K264" s="5"/>
    </row>
    <row r="265" spans="3:11" x14ac:dyDescent="0.25">
      <c r="C265" s="5"/>
      <c r="D265" s="5"/>
      <c r="E265" s="5"/>
      <c r="F265" s="5"/>
      <c r="G265" s="5"/>
      <c r="H265" s="5"/>
      <c r="I265" s="5"/>
      <c r="J265" s="5"/>
      <c r="K265" s="5"/>
    </row>
    <row r="266" spans="3:11" x14ac:dyDescent="0.25">
      <c r="C266" s="5"/>
      <c r="D266" s="5"/>
      <c r="E266" s="5"/>
      <c r="F266" s="5"/>
      <c r="G266" s="5"/>
      <c r="H266" s="5"/>
      <c r="I266" s="5"/>
      <c r="J266" s="5"/>
      <c r="K266" s="5"/>
    </row>
    <row r="267" spans="3:11" x14ac:dyDescent="0.25">
      <c r="C267" s="5"/>
      <c r="D267" s="5"/>
      <c r="E267" s="5"/>
      <c r="F267" s="5"/>
      <c r="G267" s="5"/>
      <c r="H267" s="5"/>
      <c r="I267" s="5"/>
      <c r="J267" s="5"/>
      <c r="K267" s="5"/>
    </row>
    <row r="268" spans="3:11" x14ac:dyDescent="0.25">
      <c r="C268" s="5"/>
      <c r="D268" s="5"/>
      <c r="E268" s="5"/>
      <c r="F268" s="5"/>
      <c r="G268" s="5"/>
      <c r="H268" s="5"/>
      <c r="I268" s="5"/>
      <c r="J268" s="5"/>
      <c r="K268" s="5"/>
    </row>
    <row r="269" spans="3:11" x14ac:dyDescent="0.25">
      <c r="C269" s="5"/>
      <c r="D269" s="5"/>
      <c r="E269" s="5"/>
      <c r="F269" s="5"/>
      <c r="G269" s="5"/>
      <c r="H269" s="5"/>
      <c r="I269" s="5"/>
      <c r="J269" s="5"/>
      <c r="K269" s="5"/>
    </row>
    <row r="270" spans="3:11" x14ac:dyDescent="0.25">
      <c r="C270" s="5"/>
      <c r="D270" s="5"/>
      <c r="E270" s="5"/>
      <c r="F270" s="5"/>
      <c r="G270" s="5"/>
      <c r="H270" s="5"/>
      <c r="I270" s="5"/>
      <c r="J270" s="5"/>
      <c r="K270" s="5"/>
    </row>
    <row r="271" spans="3:11" x14ac:dyDescent="0.25">
      <c r="C271" s="5"/>
      <c r="D271" s="5"/>
      <c r="E271" s="5"/>
      <c r="F271" s="5"/>
      <c r="G271" s="5"/>
      <c r="H271" s="5"/>
      <c r="I271" s="5"/>
      <c r="J271" s="5"/>
      <c r="K271" s="5"/>
    </row>
    <row r="272" spans="3:11" x14ac:dyDescent="0.25">
      <c r="C272" s="5"/>
      <c r="D272" s="5"/>
      <c r="E272" s="5"/>
      <c r="F272" s="5"/>
      <c r="G272" s="5"/>
      <c r="H272" s="5"/>
      <c r="I272" s="5"/>
      <c r="J272" s="5"/>
      <c r="K272" s="5"/>
    </row>
    <row r="273" spans="3:11" x14ac:dyDescent="0.25">
      <c r="C273" s="5"/>
      <c r="D273" s="5"/>
      <c r="E273" s="5"/>
      <c r="F273" s="5"/>
      <c r="G273" s="5"/>
      <c r="H273" s="5"/>
      <c r="I273" s="5"/>
      <c r="J273" s="5"/>
      <c r="K273" s="5"/>
    </row>
    <row r="274" spans="3:11" x14ac:dyDescent="0.25">
      <c r="C274" s="5"/>
      <c r="D274" s="5"/>
      <c r="E274" s="5"/>
      <c r="F274" s="5"/>
      <c r="G274" s="5"/>
      <c r="H274" s="5"/>
      <c r="I274" s="5"/>
      <c r="J274" s="5"/>
      <c r="K274" s="5"/>
    </row>
    <row r="275" spans="3:11" x14ac:dyDescent="0.25">
      <c r="C275" s="5"/>
      <c r="D275" s="5"/>
      <c r="E275" s="5"/>
      <c r="F275" s="5"/>
      <c r="G275" s="5"/>
      <c r="H275" s="5"/>
      <c r="I275" s="5"/>
      <c r="J275" s="5"/>
      <c r="K275" s="5"/>
    </row>
    <row r="276" spans="3:11" x14ac:dyDescent="0.25">
      <c r="C276" s="5"/>
      <c r="D276" s="5"/>
      <c r="E276" s="5"/>
      <c r="F276" s="5"/>
      <c r="G276" s="5"/>
      <c r="H276" s="5"/>
      <c r="I276" s="5"/>
      <c r="J276" s="5"/>
      <c r="K276" s="5"/>
    </row>
    <row r="277" spans="3:11" x14ac:dyDescent="0.25">
      <c r="C277" s="5"/>
      <c r="D277" s="5"/>
      <c r="E277" s="5"/>
      <c r="F277" s="5"/>
      <c r="G277" s="5"/>
      <c r="H277" s="5"/>
      <c r="I277" s="5"/>
      <c r="J277" s="5"/>
      <c r="K277" s="5"/>
    </row>
    <row r="278" spans="3:11" x14ac:dyDescent="0.25">
      <c r="C278" s="5"/>
      <c r="D278" s="5"/>
      <c r="E278" s="5"/>
      <c r="F278" s="5"/>
      <c r="G278" s="5"/>
      <c r="H278" s="5"/>
      <c r="I278" s="5"/>
      <c r="J278" s="5"/>
      <c r="K278" s="5"/>
    </row>
    <row r="279" spans="3:11" x14ac:dyDescent="0.25">
      <c r="C279" s="5"/>
      <c r="D279" s="5"/>
      <c r="E279" s="5"/>
      <c r="F279" s="5"/>
      <c r="G279" s="5"/>
      <c r="H279" s="5"/>
      <c r="I279" s="5"/>
      <c r="J279" s="5"/>
      <c r="K279" s="5"/>
    </row>
    <row r="280" spans="3:11" x14ac:dyDescent="0.25">
      <c r="C280" s="5"/>
      <c r="D280" s="5"/>
      <c r="E280" s="5"/>
      <c r="F280" s="5"/>
      <c r="G280" s="5"/>
      <c r="H280" s="5"/>
      <c r="I280" s="5"/>
      <c r="J280" s="5"/>
      <c r="K280" s="5"/>
    </row>
    <row r="281" spans="3:11" x14ac:dyDescent="0.25">
      <c r="C281" s="5"/>
      <c r="D281" s="5"/>
      <c r="E281" s="5"/>
      <c r="F281" s="5"/>
      <c r="G281" s="5"/>
      <c r="H281" s="5"/>
      <c r="I281" s="5"/>
      <c r="J281" s="5"/>
      <c r="K281" s="5"/>
    </row>
    <row r="282" spans="3:11" x14ac:dyDescent="0.25">
      <c r="C282" s="5"/>
      <c r="D282" s="5"/>
      <c r="E282" s="5"/>
      <c r="F282" s="5"/>
      <c r="G282" s="5"/>
      <c r="H282" s="5"/>
      <c r="I282" s="5"/>
      <c r="J282" s="5"/>
      <c r="K282" s="5"/>
    </row>
    <row r="283" spans="3:11" x14ac:dyDescent="0.25">
      <c r="C283" s="5"/>
      <c r="D283" s="5"/>
      <c r="E283" s="5"/>
      <c r="F283" s="5"/>
      <c r="G283" s="5"/>
      <c r="H283" s="5"/>
      <c r="I283" s="5"/>
      <c r="J283" s="5"/>
      <c r="K283" s="5"/>
    </row>
    <row r="284" spans="3:11" x14ac:dyDescent="0.25">
      <c r="C284" s="5"/>
      <c r="D284" s="5"/>
      <c r="E284" s="5"/>
      <c r="F284" s="5"/>
      <c r="G284" s="5"/>
      <c r="H284" s="5"/>
      <c r="I284" s="5"/>
      <c r="J284" s="5"/>
      <c r="K284" s="5"/>
    </row>
    <row r="285" spans="3:11" x14ac:dyDescent="0.25">
      <c r="C285" s="5"/>
      <c r="D285" s="5"/>
      <c r="E285" s="5"/>
      <c r="F285" s="5"/>
      <c r="G285" s="5"/>
      <c r="H285" s="5"/>
      <c r="I285" s="5"/>
      <c r="J285" s="5"/>
      <c r="K285" s="5"/>
    </row>
    <row r="286" spans="3:11" x14ac:dyDescent="0.25">
      <c r="C286" s="5"/>
      <c r="D286" s="5"/>
      <c r="E286" s="5"/>
      <c r="F286" s="5"/>
      <c r="G286" s="5"/>
      <c r="H286" s="5"/>
      <c r="I286" s="5"/>
      <c r="J286" s="5"/>
      <c r="K286" s="5"/>
    </row>
    <row r="287" spans="3:11" x14ac:dyDescent="0.25">
      <c r="C287" s="5"/>
      <c r="D287" s="5"/>
      <c r="E287" s="5"/>
      <c r="F287" s="5"/>
      <c r="G287" s="5"/>
      <c r="H287" s="5"/>
      <c r="I287" s="5"/>
      <c r="J287" s="5"/>
      <c r="K287" s="5"/>
    </row>
    <row r="288" spans="3:11" x14ac:dyDescent="0.25">
      <c r="C288" s="5"/>
      <c r="D288" s="5"/>
      <c r="E288" s="5"/>
      <c r="F288" s="5"/>
      <c r="G288" s="5"/>
      <c r="H288" s="5"/>
      <c r="I288" s="5"/>
      <c r="J288" s="5"/>
      <c r="K288" s="5"/>
    </row>
    <row r="289" spans="3:11" x14ac:dyDescent="0.25">
      <c r="C289" s="5"/>
      <c r="D289" s="5"/>
      <c r="E289" s="5"/>
      <c r="F289" s="5"/>
      <c r="G289" s="5"/>
      <c r="H289" s="5"/>
      <c r="I289" s="5"/>
      <c r="J289" s="5"/>
      <c r="K289" s="5"/>
    </row>
    <row r="290" spans="3:11" x14ac:dyDescent="0.25">
      <c r="C290" s="5"/>
      <c r="D290" s="5"/>
      <c r="E290" s="5"/>
      <c r="F290" s="5"/>
      <c r="G290" s="5"/>
      <c r="H290" s="5"/>
      <c r="I290" s="5"/>
      <c r="J290" s="5"/>
      <c r="K290" s="5"/>
    </row>
    <row r="291" spans="3:11" x14ac:dyDescent="0.25">
      <c r="C291" s="5"/>
      <c r="D291" s="5"/>
      <c r="E291" s="5"/>
      <c r="F291" s="5"/>
      <c r="G291" s="5"/>
      <c r="H291" s="5"/>
      <c r="I291" s="5"/>
      <c r="J291" s="5"/>
      <c r="K291" s="5"/>
    </row>
    <row r="292" spans="3:11" x14ac:dyDescent="0.25">
      <c r="C292" s="5"/>
      <c r="D292" s="5"/>
      <c r="E292" s="5"/>
      <c r="F292" s="5"/>
      <c r="G292" s="5"/>
      <c r="H292" s="5"/>
      <c r="I292" s="5"/>
      <c r="J292" s="5"/>
      <c r="K292" s="5"/>
    </row>
    <row r="293" spans="3:11" x14ac:dyDescent="0.25">
      <c r="C293" s="5"/>
      <c r="D293" s="5"/>
      <c r="E293" s="5"/>
      <c r="F293" s="5"/>
      <c r="G293" s="5"/>
      <c r="H293" s="5"/>
      <c r="I293" s="5"/>
      <c r="J293" s="5"/>
      <c r="K293" s="5"/>
    </row>
    <row r="294" spans="3:11" x14ac:dyDescent="0.25">
      <c r="C294" s="5"/>
      <c r="D294" s="5"/>
      <c r="E294" s="5"/>
      <c r="F294" s="5"/>
      <c r="G294" s="5"/>
      <c r="H294" s="5"/>
      <c r="I294" s="5"/>
      <c r="J294" s="5"/>
      <c r="K294" s="5"/>
    </row>
    <row r="295" spans="3:11" x14ac:dyDescent="0.25">
      <c r="C295" s="5"/>
      <c r="D295" s="5"/>
      <c r="E295" s="5"/>
      <c r="F295" s="5"/>
      <c r="G295" s="5"/>
      <c r="H295" s="5"/>
      <c r="I295" s="5"/>
      <c r="J295" s="5"/>
      <c r="K295" s="5"/>
    </row>
    <row r="296" spans="3:11" x14ac:dyDescent="0.25">
      <c r="C296" s="5"/>
      <c r="D296" s="5"/>
      <c r="E296" s="5"/>
      <c r="F296" s="5"/>
      <c r="G296" s="5"/>
      <c r="H296" s="5"/>
      <c r="I296" s="5"/>
      <c r="J296" s="5"/>
      <c r="K296" s="5"/>
    </row>
    <row r="297" spans="3:11" x14ac:dyDescent="0.25">
      <c r="C297" s="5"/>
      <c r="D297" s="5"/>
      <c r="E297" s="5"/>
      <c r="F297" s="5"/>
      <c r="G297" s="5"/>
      <c r="H297" s="5"/>
      <c r="I297" s="5"/>
      <c r="J297" s="5"/>
      <c r="K297" s="5"/>
    </row>
    <row r="298" spans="3:11" x14ac:dyDescent="0.25">
      <c r="C298" s="5"/>
      <c r="D298" s="5"/>
      <c r="E298" s="5"/>
      <c r="F298" s="5"/>
      <c r="G298" s="5"/>
      <c r="H298" s="5"/>
      <c r="I298" s="5"/>
      <c r="J298" s="5"/>
      <c r="K298" s="5"/>
    </row>
    <row r="299" spans="3:11" x14ac:dyDescent="0.25">
      <c r="C299" s="5"/>
      <c r="D299" s="5"/>
      <c r="E299" s="5"/>
      <c r="F299" s="5"/>
      <c r="G299" s="5"/>
      <c r="H299" s="5"/>
      <c r="I299" s="5"/>
      <c r="J299" s="5"/>
      <c r="K299" s="5"/>
    </row>
    <row r="300" spans="3:11" x14ac:dyDescent="0.25">
      <c r="C300" s="5"/>
      <c r="D300" s="5"/>
      <c r="E300" s="5"/>
      <c r="F300" s="5"/>
      <c r="G300" s="5"/>
      <c r="H300" s="5"/>
      <c r="I300" s="5"/>
      <c r="J300" s="5"/>
      <c r="K300" s="5"/>
    </row>
    <row r="301" spans="3:11" x14ac:dyDescent="0.25">
      <c r="C301" s="5"/>
      <c r="D301" s="5"/>
      <c r="E301" s="5"/>
      <c r="F301" s="5"/>
      <c r="G301" s="5"/>
      <c r="H301" s="5"/>
      <c r="I301" s="5"/>
      <c r="J301" s="5"/>
      <c r="K301" s="5"/>
    </row>
    <row r="302" spans="3:11" x14ac:dyDescent="0.25">
      <c r="C302" s="5"/>
      <c r="D302" s="5"/>
      <c r="E302" s="5"/>
      <c r="F302" s="5"/>
      <c r="G302" s="5"/>
      <c r="H302" s="5"/>
      <c r="I302" s="5"/>
      <c r="J302" s="5"/>
      <c r="K302" s="5"/>
    </row>
    <row r="303" spans="3:11" x14ac:dyDescent="0.25">
      <c r="C303" s="5"/>
      <c r="D303" s="5"/>
      <c r="E303" s="5"/>
      <c r="F303" s="5"/>
      <c r="G303" s="5"/>
      <c r="H303" s="5"/>
      <c r="I303" s="5"/>
      <c r="J303" s="5"/>
      <c r="K303" s="5"/>
    </row>
    <row r="304" spans="3:11" x14ac:dyDescent="0.25">
      <c r="C304" s="5"/>
      <c r="D304" s="5"/>
      <c r="E304" s="5"/>
      <c r="F304" s="5"/>
      <c r="G304" s="5"/>
      <c r="H304" s="5"/>
      <c r="I304" s="5"/>
      <c r="J304" s="5"/>
      <c r="K304" s="5"/>
    </row>
    <row r="305" spans="3:11" x14ac:dyDescent="0.25">
      <c r="C305" s="5"/>
      <c r="D305" s="5"/>
      <c r="E305" s="5"/>
      <c r="F305" s="5"/>
      <c r="G305" s="5"/>
      <c r="H305" s="5"/>
      <c r="I305" s="5"/>
      <c r="J305" s="5"/>
      <c r="K305" s="5"/>
    </row>
    <row r="306" spans="3:11" x14ac:dyDescent="0.25">
      <c r="C306" s="5"/>
      <c r="D306" s="5"/>
      <c r="E306" s="5"/>
      <c r="F306" s="5"/>
      <c r="G306" s="5"/>
      <c r="H306" s="5"/>
      <c r="I306" s="5"/>
      <c r="J306" s="5"/>
      <c r="K306" s="5"/>
    </row>
    <row r="307" spans="3:11" x14ac:dyDescent="0.25">
      <c r="C307" s="5"/>
      <c r="D307" s="5"/>
      <c r="E307" s="5"/>
      <c r="F307" s="5"/>
      <c r="G307" s="5"/>
      <c r="H307" s="5"/>
      <c r="I307" s="5"/>
      <c r="J307" s="5"/>
      <c r="K307" s="5"/>
    </row>
    <row r="308" spans="3:11" x14ac:dyDescent="0.25">
      <c r="C308" s="5"/>
      <c r="D308" s="5"/>
      <c r="E308" s="5"/>
      <c r="F308" s="5"/>
      <c r="G308" s="5"/>
      <c r="H308" s="5"/>
      <c r="I308" s="5"/>
      <c r="J308" s="5"/>
      <c r="K308" s="5"/>
    </row>
    <row r="309" spans="3:11" x14ac:dyDescent="0.25">
      <c r="C309" s="5"/>
      <c r="D309" s="5"/>
      <c r="E309" s="5"/>
      <c r="F309" s="5"/>
      <c r="G309" s="5"/>
      <c r="H309" s="5"/>
      <c r="I309" s="5"/>
      <c r="J309" s="5"/>
      <c r="K309" s="5"/>
    </row>
    <row r="310" spans="3:11" x14ac:dyDescent="0.25">
      <c r="C310" s="5"/>
      <c r="D310" s="5"/>
      <c r="E310" s="5"/>
      <c r="F310" s="5"/>
      <c r="G310" s="5"/>
      <c r="H310" s="5"/>
      <c r="I310" s="5"/>
      <c r="J310" s="5"/>
      <c r="K310" s="5"/>
    </row>
    <row r="311" spans="3:11" x14ac:dyDescent="0.25">
      <c r="C311" s="5"/>
      <c r="D311" s="5"/>
      <c r="E311" s="5"/>
      <c r="F311" s="5"/>
      <c r="G311" s="5"/>
      <c r="H311" s="5"/>
      <c r="I311" s="5"/>
      <c r="J311" s="5"/>
      <c r="K311" s="5"/>
    </row>
    <row r="312" spans="3:11" x14ac:dyDescent="0.25">
      <c r="C312" s="5"/>
      <c r="D312" s="5"/>
      <c r="E312" s="5"/>
      <c r="F312" s="5"/>
      <c r="G312" s="5"/>
      <c r="H312" s="5"/>
      <c r="I312" s="5"/>
      <c r="J312" s="5"/>
      <c r="K312" s="5"/>
    </row>
    <row r="313" spans="3:11" x14ac:dyDescent="0.25">
      <c r="C313" s="5"/>
      <c r="D313" s="5"/>
      <c r="E313" s="5"/>
      <c r="F313" s="5"/>
      <c r="G313" s="5"/>
      <c r="H313" s="5"/>
      <c r="I313" s="5"/>
      <c r="J313" s="5"/>
      <c r="K313" s="5"/>
    </row>
    <row r="314" spans="3:11" x14ac:dyDescent="0.25">
      <c r="C314" s="5"/>
      <c r="D314" s="5"/>
      <c r="E314" s="5"/>
      <c r="F314" s="5"/>
      <c r="G314" s="5"/>
      <c r="H314" s="5"/>
      <c r="I314" s="5"/>
      <c r="J314" s="5"/>
      <c r="K314" s="5"/>
    </row>
    <row r="315" spans="3:11" x14ac:dyDescent="0.25">
      <c r="C315" s="5"/>
      <c r="D315" s="5"/>
      <c r="E315" s="5"/>
      <c r="F315" s="5"/>
      <c r="G315" s="5"/>
      <c r="H315" s="5"/>
      <c r="I315" s="5"/>
      <c r="J315" s="5"/>
      <c r="K315" s="5"/>
    </row>
    <row r="316" spans="3:11" x14ac:dyDescent="0.25">
      <c r="C316" s="5"/>
      <c r="D316" s="5"/>
      <c r="E316" s="5"/>
      <c r="F316" s="5"/>
      <c r="G316" s="5"/>
      <c r="H316" s="5"/>
      <c r="I316" s="5"/>
      <c r="J316" s="5"/>
      <c r="K316" s="5"/>
    </row>
    <row r="317" spans="3:11" x14ac:dyDescent="0.25">
      <c r="C317" s="5"/>
      <c r="D317" s="5"/>
      <c r="E317" s="5"/>
      <c r="F317" s="5"/>
      <c r="G317" s="5"/>
      <c r="H317" s="5"/>
      <c r="I317" s="5"/>
      <c r="J317" s="5"/>
      <c r="K317" s="5"/>
    </row>
    <row r="318" spans="3:11" x14ac:dyDescent="0.25">
      <c r="C318" s="5"/>
      <c r="D318" s="5"/>
      <c r="E318" s="5"/>
      <c r="F318" s="5"/>
      <c r="G318" s="5"/>
      <c r="H318" s="5"/>
      <c r="I318" s="5"/>
      <c r="J318" s="5"/>
      <c r="K318" s="5"/>
    </row>
    <row r="319" spans="3:11" x14ac:dyDescent="0.25">
      <c r="C319" s="5"/>
      <c r="D319" s="5"/>
      <c r="E319" s="5"/>
      <c r="F319" s="5"/>
      <c r="G319" s="5"/>
      <c r="H319" s="5"/>
      <c r="I319" s="5"/>
      <c r="J319" s="5"/>
      <c r="K319" s="5"/>
    </row>
    <row r="320" spans="3:11" x14ac:dyDescent="0.25">
      <c r="C320" s="5"/>
      <c r="D320" s="5"/>
      <c r="E320" s="5"/>
      <c r="F320" s="5"/>
      <c r="G320" s="5"/>
      <c r="H320" s="5"/>
      <c r="I320" s="5"/>
      <c r="J320" s="5"/>
      <c r="K320" s="5"/>
    </row>
    <row r="321" spans="3:11" x14ac:dyDescent="0.25">
      <c r="C321" s="5"/>
      <c r="D321" s="5"/>
      <c r="E321" s="5"/>
      <c r="F321" s="5"/>
      <c r="G321" s="5"/>
      <c r="H321" s="5"/>
      <c r="I321" s="5"/>
      <c r="J321" s="5"/>
      <c r="K321" s="5"/>
    </row>
    <row r="322" spans="3:11" x14ac:dyDescent="0.25">
      <c r="C322" s="5"/>
      <c r="D322" s="5"/>
      <c r="E322" s="5"/>
      <c r="F322" s="5"/>
      <c r="G322" s="5"/>
      <c r="H322" s="5"/>
      <c r="I322" s="5"/>
      <c r="J322" s="5"/>
      <c r="K322" s="5"/>
    </row>
    <row r="323" spans="3:11" x14ac:dyDescent="0.25">
      <c r="C323" s="5"/>
      <c r="D323" s="5"/>
      <c r="E323" s="5"/>
      <c r="F323" s="5"/>
      <c r="G323" s="5"/>
      <c r="H323" s="5"/>
      <c r="I323" s="5"/>
      <c r="J323" s="5"/>
      <c r="K323" s="5"/>
    </row>
    <row r="324" spans="3:11" x14ac:dyDescent="0.25">
      <c r="C324" s="5"/>
      <c r="D324" s="5"/>
      <c r="E324" s="5"/>
      <c r="F324" s="5"/>
      <c r="G324" s="5"/>
      <c r="H324" s="5"/>
      <c r="I324" s="5"/>
      <c r="J324" s="5"/>
      <c r="K324" s="5"/>
    </row>
    <row r="325" spans="3:11" x14ac:dyDescent="0.25">
      <c r="C325" s="5"/>
      <c r="D325" s="5"/>
      <c r="E325" s="5"/>
      <c r="F325" s="5"/>
      <c r="G325" s="5"/>
      <c r="H325" s="5"/>
      <c r="I325" s="5"/>
      <c r="J325" s="5"/>
      <c r="K325" s="5"/>
    </row>
    <row r="326" spans="3:11" x14ac:dyDescent="0.25">
      <c r="C326" s="5"/>
      <c r="D326" s="5"/>
      <c r="E326" s="5"/>
      <c r="F326" s="5"/>
      <c r="G326" s="5"/>
      <c r="H326" s="5"/>
      <c r="I326" s="5"/>
      <c r="J326" s="5"/>
      <c r="K326" s="5"/>
    </row>
    <row r="327" spans="3:11" x14ac:dyDescent="0.25">
      <c r="C327" s="5"/>
      <c r="D327" s="5"/>
      <c r="E327" s="5"/>
      <c r="F327" s="5"/>
      <c r="G327" s="5"/>
      <c r="H327" s="5"/>
      <c r="I327" s="5"/>
      <c r="J327" s="5"/>
      <c r="K327" s="5"/>
    </row>
    <row r="328" spans="3:11" x14ac:dyDescent="0.25">
      <c r="C328" s="5"/>
      <c r="D328" s="5"/>
      <c r="E328" s="5"/>
      <c r="F328" s="5"/>
      <c r="G328" s="5"/>
      <c r="H328" s="5"/>
      <c r="I328" s="5"/>
      <c r="J328" s="5"/>
      <c r="K328" s="5"/>
    </row>
    <row r="329" spans="3:11" x14ac:dyDescent="0.25">
      <c r="C329" s="5"/>
      <c r="D329" s="5"/>
      <c r="E329" s="5"/>
      <c r="F329" s="5"/>
      <c r="G329" s="5"/>
      <c r="H329" s="5"/>
      <c r="I329" s="5"/>
      <c r="J329" s="5"/>
      <c r="K329" s="5"/>
    </row>
    <row r="330" spans="3:11" x14ac:dyDescent="0.25">
      <c r="C330" s="5"/>
      <c r="D330" s="5"/>
      <c r="E330" s="5"/>
      <c r="F330" s="5"/>
      <c r="G330" s="5"/>
      <c r="H330" s="5"/>
      <c r="I330" s="5"/>
      <c r="J330" s="5"/>
      <c r="K330" s="5"/>
    </row>
    <row r="331" spans="3:11" x14ac:dyDescent="0.25">
      <c r="C331" s="5"/>
      <c r="D331" s="5"/>
      <c r="E331" s="5"/>
      <c r="F331" s="5"/>
      <c r="G331" s="5"/>
      <c r="H331" s="5"/>
      <c r="I331" s="5"/>
      <c r="J331" s="5"/>
      <c r="K331" s="5"/>
    </row>
    <row r="332" spans="3:11" x14ac:dyDescent="0.25">
      <c r="C332" s="5"/>
      <c r="D332" s="5"/>
      <c r="E332" s="5"/>
      <c r="F332" s="5"/>
      <c r="G332" s="5"/>
      <c r="H332" s="5"/>
      <c r="I332" s="5"/>
      <c r="J332" s="5"/>
      <c r="K332" s="5"/>
    </row>
    <row r="333" spans="3:11" x14ac:dyDescent="0.25">
      <c r="C333" s="5"/>
      <c r="D333" s="5"/>
      <c r="E333" s="5"/>
      <c r="F333" s="5"/>
      <c r="G333" s="5"/>
      <c r="H333" s="5"/>
      <c r="I333" s="5"/>
      <c r="J333" s="5"/>
      <c r="K333" s="5"/>
    </row>
    <row r="334" spans="3:11" x14ac:dyDescent="0.25">
      <c r="C334" s="5"/>
      <c r="D334" s="5"/>
      <c r="E334" s="5"/>
      <c r="F334" s="5"/>
      <c r="G334" s="5"/>
      <c r="H334" s="5"/>
      <c r="I334" s="5"/>
      <c r="J334" s="5"/>
      <c r="K334" s="5"/>
    </row>
    <row r="335" spans="3:11" x14ac:dyDescent="0.25">
      <c r="C335" s="5"/>
      <c r="D335" s="5"/>
      <c r="E335" s="5"/>
      <c r="F335" s="5"/>
      <c r="G335" s="5"/>
      <c r="H335" s="5"/>
      <c r="I335" s="5"/>
      <c r="J335" s="5"/>
      <c r="K335" s="5"/>
    </row>
    <row r="336" spans="3:11" x14ac:dyDescent="0.25">
      <c r="C336" s="5"/>
      <c r="D336" s="5"/>
      <c r="E336" s="5"/>
      <c r="F336" s="5"/>
      <c r="G336" s="5"/>
      <c r="H336" s="5"/>
      <c r="I336" s="5"/>
      <c r="J336" s="5"/>
      <c r="K336" s="5"/>
    </row>
    <row r="337" spans="3:11" x14ac:dyDescent="0.25">
      <c r="C337" s="5"/>
      <c r="D337" s="5"/>
      <c r="E337" s="5"/>
      <c r="F337" s="5"/>
      <c r="G337" s="5"/>
      <c r="H337" s="5"/>
      <c r="I337" s="5"/>
      <c r="J337" s="5"/>
      <c r="K337" s="5"/>
    </row>
    <row r="338" spans="3:11" x14ac:dyDescent="0.25">
      <c r="C338" s="5"/>
      <c r="D338" s="5"/>
      <c r="E338" s="5"/>
      <c r="F338" s="5"/>
      <c r="G338" s="5"/>
      <c r="H338" s="5"/>
      <c r="I338" s="5"/>
      <c r="J338" s="5"/>
      <c r="K338" s="5"/>
    </row>
    <row r="339" spans="3:11" x14ac:dyDescent="0.25">
      <c r="C339" s="5"/>
      <c r="D339" s="5"/>
      <c r="E339" s="5"/>
      <c r="F339" s="5"/>
      <c r="G339" s="5"/>
      <c r="H339" s="5"/>
      <c r="I339" s="5"/>
      <c r="J339" s="5"/>
      <c r="K339" s="5"/>
    </row>
    <row r="340" spans="3:11" x14ac:dyDescent="0.25">
      <c r="C340" s="5"/>
      <c r="D340" s="5"/>
      <c r="E340" s="5"/>
      <c r="F340" s="5"/>
      <c r="G340" s="5"/>
      <c r="H340" s="5"/>
      <c r="I340" s="5"/>
      <c r="J340" s="5"/>
      <c r="K340" s="5"/>
    </row>
    <row r="341" spans="3:11" x14ac:dyDescent="0.25">
      <c r="C341" s="5"/>
      <c r="D341" s="5"/>
      <c r="E341" s="5"/>
      <c r="F341" s="5"/>
      <c r="G341" s="5"/>
      <c r="H341" s="5"/>
      <c r="I341" s="5"/>
      <c r="J341" s="5"/>
      <c r="K341" s="5"/>
    </row>
    <row r="342" spans="3:11" x14ac:dyDescent="0.25">
      <c r="C342" s="5"/>
      <c r="D342" s="5"/>
      <c r="E342" s="5"/>
      <c r="F342" s="5"/>
      <c r="G342" s="5"/>
      <c r="H342" s="5"/>
      <c r="I342" s="5"/>
      <c r="J342" s="5"/>
      <c r="K342" s="5"/>
    </row>
    <row r="343" spans="3:11" x14ac:dyDescent="0.25">
      <c r="C343" s="5"/>
      <c r="D343" s="5"/>
      <c r="E343" s="5"/>
      <c r="F343" s="5"/>
      <c r="G343" s="5"/>
      <c r="H343" s="5"/>
      <c r="I343" s="5"/>
      <c r="J343" s="5"/>
      <c r="K343" s="5"/>
    </row>
    <row r="344" spans="3:11" x14ac:dyDescent="0.25">
      <c r="C344" s="5"/>
      <c r="D344" s="5"/>
      <c r="E344" s="5"/>
      <c r="F344" s="5"/>
      <c r="G344" s="5"/>
      <c r="H344" s="5"/>
      <c r="I344" s="5"/>
      <c r="J344" s="5"/>
      <c r="K344" s="5"/>
    </row>
    <row r="345" spans="3:11" x14ac:dyDescent="0.25">
      <c r="C345" s="5"/>
      <c r="D345" s="5"/>
      <c r="E345" s="5"/>
      <c r="F345" s="5"/>
      <c r="G345" s="5"/>
      <c r="H345" s="5"/>
      <c r="I345" s="5"/>
      <c r="J345" s="5"/>
      <c r="K345" s="5"/>
    </row>
    <row r="346" spans="3:11" x14ac:dyDescent="0.25">
      <c r="C346" s="5"/>
      <c r="D346" s="5"/>
      <c r="E346" s="5"/>
      <c r="F346" s="5"/>
      <c r="G346" s="5"/>
      <c r="H346" s="5"/>
      <c r="I346" s="5"/>
      <c r="J346" s="5"/>
      <c r="K346" s="5"/>
    </row>
    <row r="347" spans="3:11" x14ac:dyDescent="0.25">
      <c r="C347" s="5"/>
      <c r="D347" s="5"/>
      <c r="E347" s="5"/>
      <c r="F347" s="5"/>
      <c r="G347" s="5"/>
      <c r="H347" s="5"/>
      <c r="I347" s="5"/>
      <c r="J347" s="5"/>
      <c r="K347" s="5"/>
    </row>
    <row r="348" spans="3:11" x14ac:dyDescent="0.25">
      <c r="C348" s="5"/>
      <c r="D348" s="5"/>
      <c r="E348" s="5"/>
      <c r="F348" s="5"/>
      <c r="G348" s="5"/>
      <c r="H348" s="5"/>
      <c r="I348" s="5"/>
      <c r="J348" s="5"/>
      <c r="K348" s="5"/>
    </row>
    <row r="349" spans="3:11" x14ac:dyDescent="0.25">
      <c r="C349" s="5"/>
      <c r="D349" s="5"/>
      <c r="E349" s="5"/>
      <c r="F349" s="5"/>
      <c r="G349" s="5"/>
      <c r="H349" s="5"/>
      <c r="I349" s="5"/>
      <c r="J349" s="5"/>
      <c r="K349" s="5"/>
    </row>
    <row r="350" spans="3:11" x14ac:dyDescent="0.25">
      <c r="C350" s="5"/>
      <c r="D350" s="5"/>
      <c r="E350" s="5"/>
      <c r="F350" s="5"/>
      <c r="G350" s="5"/>
      <c r="H350" s="5"/>
      <c r="I350" s="5"/>
      <c r="J350" s="5"/>
      <c r="K350" s="5"/>
    </row>
    <row r="351" spans="3:11" x14ac:dyDescent="0.25">
      <c r="C351" s="5"/>
      <c r="D351" s="5"/>
      <c r="E351" s="5"/>
      <c r="F351" s="5"/>
      <c r="G351" s="5"/>
      <c r="H351" s="5"/>
      <c r="I351" s="5"/>
      <c r="J351" s="5"/>
      <c r="K351" s="5"/>
    </row>
    <row r="352" spans="3:11" x14ac:dyDescent="0.25">
      <c r="C352" s="5"/>
      <c r="D352" s="5"/>
      <c r="E352" s="5"/>
      <c r="F352" s="5"/>
      <c r="G352" s="5"/>
      <c r="H352" s="5"/>
      <c r="I352" s="5"/>
      <c r="J352" s="5"/>
      <c r="K352" s="5"/>
    </row>
    <row r="353" spans="3:11" x14ac:dyDescent="0.25">
      <c r="C353" s="5"/>
      <c r="D353" s="5"/>
      <c r="E353" s="5"/>
      <c r="F353" s="5"/>
      <c r="G353" s="5"/>
      <c r="H353" s="5"/>
      <c r="I353" s="5"/>
      <c r="J353" s="5"/>
      <c r="K353" s="5"/>
    </row>
    <row r="354" spans="3:11" x14ac:dyDescent="0.25">
      <c r="C354" s="5"/>
      <c r="D354" s="5"/>
      <c r="E354" s="5"/>
      <c r="F354" s="5"/>
      <c r="G354" s="5"/>
      <c r="H354" s="5"/>
      <c r="I354" s="5"/>
      <c r="J354" s="5"/>
      <c r="K354" s="5"/>
    </row>
    <row r="355" spans="3:11" x14ac:dyDescent="0.25">
      <c r="C355" s="5"/>
      <c r="D355" s="5"/>
      <c r="E355" s="5"/>
      <c r="F355" s="5"/>
      <c r="G355" s="5"/>
      <c r="H355" s="5"/>
      <c r="I355" s="5"/>
      <c r="J355" s="5"/>
      <c r="K355" s="5"/>
    </row>
    <row r="356" spans="3:11" x14ac:dyDescent="0.25">
      <c r="C356" s="5"/>
      <c r="D356" s="5"/>
      <c r="E356" s="5"/>
      <c r="F356" s="5"/>
      <c r="G356" s="5"/>
      <c r="H356" s="5"/>
      <c r="I356" s="5"/>
      <c r="J356" s="5"/>
      <c r="K356" s="5"/>
    </row>
    <row r="357" spans="3:11" x14ac:dyDescent="0.25">
      <c r="C357" s="5"/>
      <c r="D357" s="5"/>
      <c r="E357" s="5"/>
      <c r="F357" s="5"/>
      <c r="G357" s="5"/>
      <c r="H357" s="5"/>
      <c r="I357" s="5"/>
      <c r="J357" s="5"/>
      <c r="K357" s="5"/>
    </row>
    <row r="358" spans="3:11" x14ac:dyDescent="0.25">
      <c r="C358" s="5"/>
      <c r="D358" s="5"/>
      <c r="E358" s="5"/>
      <c r="F358" s="5"/>
      <c r="G358" s="5"/>
      <c r="H358" s="5"/>
      <c r="I358" s="5"/>
      <c r="J358" s="5"/>
      <c r="K358" s="5"/>
    </row>
    <row r="359" spans="3:11" x14ac:dyDescent="0.25">
      <c r="C359" s="5"/>
      <c r="D359" s="5"/>
      <c r="E359" s="5"/>
      <c r="F359" s="5"/>
      <c r="G359" s="5"/>
      <c r="H359" s="5"/>
      <c r="I359" s="5"/>
      <c r="J359" s="5"/>
      <c r="K359" s="5"/>
    </row>
    <row r="360" spans="3:11" x14ac:dyDescent="0.25">
      <c r="C360" s="5"/>
      <c r="D360" s="5"/>
      <c r="E360" s="5"/>
      <c r="F360" s="5"/>
      <c r="G360" s="5"/>
      <c r="H360" s="5"/>
      <c r="I360" s="5"/>
      <c r="J360" s="5"/>
      <c r="K360" s="5"/>
    </row>
    <row r="361" spans="3:11" x14ac:dyDescent="0.25">
      <c r="C361" s="5"/>
      <c r="D361" s="5"/>
      <c r="E361" s="5"/>
      <c r="F361" s="5"/>
      <c r="G361" s="5"/>
      <c r="H361" s="5"/>
      <c r="I361" s="5"/>
      <c r="J361" s="5"/>
      <c r="K361" s="5"/>
    </row>
    <row r="362" spans="3:11" x14ac:dyDescent="0.25">
      <c r="C362" s="5"/>
      <c r="D362" s="5"/>
      <c r="E362" s="5"/>
      <c r="F362" s="5"/>
      <c r="G362" s="5"/>
      <c r="H362" s="5"/>
      <c r="I362" s="5"/>
      <c r="J362" s="5"/>
      <c r="K362" s="5"/>
    </row>
    <row r="363" spans="3:11" x14ac:dyDescent="0.25">
      <c r="C363" s="5"/>
      <c r="D363" s="5"/>
      <c r="E363" s="5"/>
      <c r="F363" s="5"/>
      <c r="G363" s="5"/>
      <c r="H363" s="5"/>
      <c r="I363" s="5"/>
      <c r="J363" s="5"/>
      <c r="K363" s="5"/>
    </row>
    <row r="364" spans="3:11" x14ac:dyDescent="0.25">
      <c r="C364" s="5"/>
      <c r="D364" s="5"/>
      <c r="E364" s="5"/>
      <c r="F364" s="5"/>
      <c r="G364" s="5"/>
      <c r="H364" s="5"/>
      <c r="I364" s="5"/>
      <c r="J364" s="5"/>
      <c r="K364" s="5"/>
    </row>
    <row r="365" spans="3:11" x14ac:dyDescent="0.25">
      <c r="C365" s="5"/>
      <c r="D365" s="5"/>
      <c r="E365" s="5"/>
      <c r="F365" s="5"/>
      <c r="G365" s="5"/>
      <c r="H365" s="5"/>
      <c r="I365" s="5"/>
      <c r="J365" s="5"/>
      <c r="K365" s="5"/>
    </row>
    <row r="366" spans="3:11" x14ac:dyDescent="0.25">
      <c r="C366" s="5"/>
      <c r="D366" s="5"/>
      <c r="E366" s="5"/>
      <c r="F366" s="5"/>
      <c r="G366" s="5"/>
      <c r="H366" s="5"/>
      <c r="I366" s="5"/>
      <c r="J366" s="5"/>
      <c r="K366" s="5"/>
    </row>
    <row r="367" spans="3:11" x14ac:dyDescent="0.25">
      <c r="C367" s="5"/>
      <c r="D367" s="5"/>
      <c r="E367" s="5"/>
      <c r="F367" s="5"/>
      <c r="G367" s="5"/>
      <c r="H367" s="5"/>
      <c r="I367" s="5"/>
      <c r="J367" s="5"/>
      <c r="K367" s="5"/>
    </row>
    <row r="368" spans="3:11" x14ac:dyDescent="0.25">
      <c r="C368" s="5"/>
      <c r="D368" s="5"/>
      <c r="E368" s="5"/>
      <c r="F368" s="5"/>
      <c r="G368" s="5"/>
      <c r="H368" s="5"/>
      <c r="I368" s="5"/>
      <c r="J368" s="5"/>
      <c r="K368" s="5"/>
    </row>
    <row r="369" spans="3:11" x14ac:dyDescent="0.25">
      <c r="C369" s="5"/>
      <c r="D369" s="5"/>
      <c r="E369" s="5"/>
      <c r="F369" s="5"/>
      <c r="G369" s="5"/>
      <c r="H369" s="5"/>
      <c r="I369" s="5"/>
      <c r="J369" s="5"/>
      <c r="K369" s="5"/>
    </row>
    <row r="370" spans="3:11" x14ac:dyDescent="0.25">
      <c r="C370" s="5"/>
      <c r="D370" s="5"/>
      <c r="E370" s="5"/>
      <c r="F370" s="5"/>
      <c r="G370" s="5"/>
      <c r="H370" s="5"/>
      <c r="I370" s="5"/>
      <c r="J370" s="5"/>
      <c r="K370" s="5"/>
    </row>
    <row r="371" spans="3:11" x14ac:dyDescent="0.25">
      <c r="C371" s="5"/>
      <c r="D371" s="5"/>
      <c r="E371" s="5"/>
      <c r="F371" s="5"/>
      <c r="G371" s="5"/>
      <c r="H371" s="5"/>
      <c r="I371" s="5"/>
      <c r="J371" s="5"/>
      <c r="K371" s="5"/>
    </row>
    <row r="372" spans="3:11" x14ac:dyDescent="0.25">
      <c r="C372" s="5"/>
      <c r="D372" s="5"/>
      <c r="E372" s="5"/>
      <c r="F372" s="5"/>
      <c r="G372" s="5"/>
      <c r="H372" s="5"/>
      <c r="I372" s="5"/>
      <c r="J372" s="5"/>
      <c r="K372" s="5"/>
    </row>
    <row r="373" spans="3:11" x14ac:dyDescent="0.25">
      <c r="C373" s="5"/>
      <c r="D373" s="5"/>
      <c r="E373" s="5"/>
      <c r="F373" s="5"/>
      <c r="G373" s="5"/>
      <c r="H373" s="5"/>
      <c r="I373" s="5"/>
      <c r="J373" s="5"/>
      <c r="K373" s="5"/>
    </row>
    <row r="374" spans="3:11" x14ac:dyDescent="0.25">
      <c r="C374" s="5"/>
      <c r="D374" s="5"/>
      <c r="E374" s="5"/>
      <c r="F374" s="5"/>
      <c r="G374" s="5"/>
      <c r="H374" s="5"/>
      <c r="I374" s="5"/>
      <c r="J374" s="5"/>
      <c r="K374" s="5"/>
    </row>
    <row r="375" spans="3:11" x14ac:dyDescent="0.25">
      <c r="C375" s="5"/>
      <c r="D375" s="5"/>
      <c r="E375" s="5"/>
      <c r="F375" s="5"/>
      <c r="G375" s="5"/>
      <c r="H375" s="5"/>
      <c r="I375" s="5"/>
      <c r="J375" s="5"/>
      <c r="K375" s="5"/>
    </row>
    <row r="376" spans="3:11" x14ac:dyDescent="0.25">
      <c r="C376" s="5"/>
      <c r="D376" s="5"/>
      <c r="E376" s="5"/>
      <c r="F376" s="5"/>
      <c r="G376" s="5"/>
      <c r="H376" s="5"/>
      <c r="I376" s="5"/>
      <c r="J376" s="5"/>
      <c r="K376" s="5"/>
    </row>
    <row r="377" spans="3:11" x14ac:dyDescent="0.25">
      <c r="C377" s="5"/>
      <c r="D377" s="5"/>
      <c r="E377" s="5"/>
      <c r="F377" s="5"/>
      <c r="G377" s="5"/>
      <c r="H377" s="5"/>
      <c r="I377" s="5"/>
      <c r="J377" s="5"/>
      <c r="K377" s="5"/>
    </row>
    <row r="378" spans="3:11" x14ac:dyDescent="0.25">
      <c r="C378" s="5"/>
      <c r="D378" s="5"/>
      <c r="E378" s="5"/>
      <c r="F378" s="5"/>
      <c r="G378" s="5"/>
      <c r="H378" s="5"/>
      <c r="I378" s="5"/>
      <c r="J378" s="5"/>
      <c r="K378" s="5"/>
    </row>
    <row r="379" spans="3:11" x14ac:dyDescent="0.25">
      <c r="C379" s="5"/>
      <c r="D379" s="5"/>
      <c r="E379" s="5"/>
      <c r="F379" s="5"/>
      <c r="G379" s="5"/>
      <c r="H379" s="5"/>
      <c r="I379" s="5"/>
      <c r="J379" s="5"/>
      <c r="K379" s="5"/>
    </row>
    <row r="380" spans="3:11" x14ac:dyDescent="0.25">
      <c r="C380" s="5"/>
      <c r="D380" s="5"/>
      <c r="E380" s="5"/>
      <c r="F380" s="5"/>
      <c r="G380" s="5"/>
      <c r="H380" s="5"/>
      <c r="I380" s="5"/>
      <c r="J380" s="5"/>
      <c r="K380" s="5"/>
    </row>
    <row r="381" spans="3:11" x14ac:dyDescent="0.25">
      <c r="C381" s="5"/>
      <c r="D381" s="5"/>
      <c r="E381" s="5"/>
      <c r="F381" s="5"/>
      <c r="G381" s="5"/>
      <c r="H381" s="5"/>
      <c r="I381" s="5"/>
      <c r="J381" s="5"/>
      <c r="K381" s="5"/>
    </row>
    <row r="382" spans="3:11" x14ac:dyDescent="0.25">
      <c r="C382" s="5"/>
      <c r="D382" s="5"/>
      <c r="E382" s="5"/>
      <c r="F382" s="5"/>
      <c r="G382" s="5"/>
      <c r="H382" s="5"/>
      <c r="I382" s="5"/>
      <c r="J382" s="5"/>
      <c r="K382" s="5"/>
    </row>
    <row r="383" spans="3:11" x14ac:dyDescent="0.25">
      <c r="C383" s="5"/>
      <c r="D383" s="5"/>
      <c r="E383" s="5"/>
      <c r="F383" s="5"/>
      <c r="G383" s="5"/>
      <c r="H383" s="5"/>
      <c r="I383" s="5"/>
      <c r="J383" s="5"/>
      <c r="K383" s="5"/>
    </row>
    <row r="384" spans="3:11" x14ac:dyDescent="0.25">
      <c r="C384" s="5"/>
      <c r="D384" s="5"/>
      <c r="E384" s="5"/>
      <c r="F384" s="5"/>
      <c r="G384" s="5"/>
      <c r="H384" s="5"/>
      <c r="I384" s="5"/>
      <c r="J384" s="5"/>
      <c r="K384" s="5"/>
    </row>
    <row r="385" spans="3:11" x14ac:dyDescent="0.25">
      <c r="C385" s="5"/>
      <c r="D385" s="5"/>
      <c r="E385" s="5"/>
      <c r="F385" s="5"/>
      <c r="G385" s="5"/>
      <c r="H385" s="5"/>
      <c r="I385" s="5"/>
      <c r="J385" s="5"/>
      <c r="K385" s="5"/>
    </row>
    <row r="386" spans="3:11" x14ac:dyDescent="0.25">
      <c r="C386" s="5"/>
      <c r="D386" s="5"/>
      <c r="E386" s="5"/>
      <c r="F386" s="5"/>
      <c r="G386" s="5"/>
      <c r="H386" s="5"/>
      <c r="I386" s="5"/>
      <c r="J386" s="5"/>
      <c r="K386" s="5"/>
    </row>
    <row r="387" spans="3:11" x14ac:dyDescent="0.25">
      <c r="C387" s="5"/>
      <c r="D387" s="5"/>
      <c r="E387" s="5"/>
      <c r="F387" s="5"/>
      <c r="G387" s="5"/>
      <c r="H387" s="5"/>
      <c r="I387" s="5"/>
      <c r="J387" s="5"/>
      <c r="K387" s="5"/>
    </row>
    <row r="388" spans="3:11" x14ac:dyDescent="0.25">
      <c r="C388" s="5"/>
      <c r="D388" s="5"/>
      <c r="E388" s="5"/>
      <c r="F388" s="5"/>
      <c r="G388" s="5"/>
      <c r="H388" s="5"/>
      <c r="I388" s="5"/>
      <c r="J388" s="5"/>
      <c r="K388" s="5"/>
    </row>
    <row r="389" spans="3:11" x14ac:dyDescent="0.25">
      <c r="C389" s="5"/>
      <c r="D389" s="5"/>
      <c r="E389" s="5"/>
      <c r="F389" s="5"/>
      <c r="G389" s="5"/>
      <c r="H389" s="5"/>
      <c r="I389" s="5"/>
      <c r="J389" s="5"/>
      <c r="K389" s="5"/>
    </row>
    <row r="390" spans="3:11" x14ac:dyDescent="0.25">
      <c r="C390" s="5"/>
      <c r="D390" s="5"/>
      <c r="E390" s="5"/>
      <c r="F390" s="5"/>
      <c r="G390" s="5"/>
      <c r="H390" s="5"/>
      <c r="I390" s="5"/>
      <c r="J390" s="5"/>
      <c r="K390" s="5"/>
    </row>
    <row r="391" spans="3:11" x14ac:dyDescent="0.25">
      <c r="C391" s="5"/>
      <c r="D391" s="5"/>
      <c r="E391" s="5"/>
      <c r="F391" s="5"/>
      <c r="G391" s="5"/>
      <c r="H391" s="5"/>
      <c r="I391" s="5"/>
      <c r="J391" s="5"/>
      <c r="K391" s="5"/>
    </row>
    <row r="392" spans="3:11" x14ac:dyDescent="0.25">
      <c r="C392" s="5"/>
      <c r="D392" s="5"/>
      <c r="E392" s="5"/>
      <c r="F392" s="5"/>
      <c r="G392" s="5"/>
      <c r="H392" s="5"/>
      <c r="I392" s="5"/>
      <c r="J392" s="5"/>
      <c r="K392" s="5"/>
    </row>
    <row r="393" spans="3:11" x14ac:dyDescent="0.25">
      <c r="C393" s="5"/>
      <c r="D393" s="5"/>
      <c r="E393" s="5"/>
      <c r="F393" s="5"/>
      <c r="G393" s="5"/>
      <c r="H393" s="5"/>
      <c r="I393" s="5"/>
      <c r="J393" s="5"/>
      <c r="K393" s="5"/>
    </row>
    <row r="394" spans="3:11" x14ac:dyDescent="0.25">
      <c r="C394" s="5"/>
      <c r="D394" s="5"/>
      <c r="E394" s="5"/>
      <c r="F394" s="5"/>
      <c r="G394" s="5"/>
      <c r="H394" s="5"/>
      <c r="I394" s="5"/>
      <c r="J394" s="5"/>
      <c r="K394" s="5"/>
    </row>
    <row r="395" spans="3:11" x14ac:dyDescent="0.25">
      <c r="C395" s="5"/>
      <c r="D395" s="5"/>
      <c r="E395" s="5"/>
      <c r="F395" s="5"/>
      <c r="G395" s="5"/>
      <c r="H395" s="5"/>
      <c r="I395" s="5"/>
      <c r="J395" s="5"/>
      <c r="K395" s="5"/>
    </row>
    <row r="396" spans="3:11" x14ac:dyDescent="0.25">
      <c r="C396" s="5"/>
      <c r="D396" s="5"/>
      <c r="E396" s="5"/>
      <c r="F396" s="5"/>
      <c r="G396" s="5"/>
      <c r="H396" s="5"/>
      <c r="I396" s="5"/>
      <c r="J396" s="5"/>
      <c r="K396" s="5"/>
    </row>
    <row r="397" spans="3:11" x14ac:dyDescent="0.25">
      <c r="C397" s="5"/>
      <c r="D397" s="5"/>
      <c r="E397" s="5"/>
      <c r="F397" s="5"/>
      <c r="G397" s="5"/>
      <c r="H397" s="5"/>
      <c r="I397" s="5"/>
      <c r="J397" s="5"/>
      <c r="K397" s="5"/>
    </row>
    <row r="398" spans="3:11" x14ac:dyDescent="0.25">
      <c r="C398" s="5"/>
      <c r="D398" s="5"/>
      <c r="E398" s="5"/>
      <c r="F398" s="5"/>
      <c r="G398" s="5"/>
      <c r="H398" s="5"/>
      <c r="I398" s="5"/>
      <c r="J398" s="5"/>
      <c r="K398" s="5"/>
    </row>
    <row r="399" spans="3:11" x14ac:dyDescent="0.25">
      <c r="C399" s="5"/>
      <c r="D399" s="5"/>
      <c r="E399" s="5"/>
      <c r="F399" s="5"/>
      <c r="G399" s="5"/>
      <c r="H399" s="5"/>
      <c r="I399" s="5"/>
      <c r="J399" s="5"/>
      <c r="K399" s="5"/>
    </row>
    <row r="400" spans="3:11" x14ac:dyDescent="0.25">
      <c r="C400" s="5"/>
      <c r="D400" s="5"/>
      <c r="E400" s="5"/>
      <c r="F400" s="5"/>
      <c r="G400" s="5"/>
      <c r="H400" s="5"/>
      <c r="I400" s="5"/>
      <c r="J400" s="5"/>
      <c r="K400" s="5"/>
    </row>
    <row r="401" spans="3:11" x14ac:dyDescent="0.25">
      <c r="C401" s="5"/>
      <c r="D401" s="5"/>
      <c r="E401" s="5"/>
      <c r="F401" s="5"/>
      <c r="G401" s="5"/>
      <c r="H401" s="5"/>
      <c r="I401" s="5"/>
      <c r="J401" s="5"/>
      <c r="K401" s="5"/>
    </row>
    <row r="402" spans="3:11" x14ac:dyDescent="0.25">
      <c r="C402" s="5"/>
      <c r="D402" s="5"/>
      <c r="E402" s="5"/>
      <c r="F402" s="5"/>
      <c r="G402" s="5"/>
      <c r="H402" s="5"/>
      <c r="I402" s="5"/>
      <c r="J402" s="5"/>
      <c r="K402" s="5"/>
    </row>
    <row r="403" spans="3:11" x14ac:dyDescent="0.25">
      <c r="C403" s="5"/>
      <c r="D403" s="5"/>
      <c r="E403" s="5"/>
      <c r="F403" s="5"/>
      <c r="G403" s="5"/>
      <c r="H403" s="5"/>
      <c r="I403" s="5"/>
      <c r="J403" s="5"/>
      <c r="K403" s="5"/>
    </row>
    <row r="404" spans="3:11" x14ac:dyDescent="0.25">
      <c r="C404" s="5"/>
      <c r="D404" s="5"/>
      <c r="E404" s="5"/>
      <c r="F404" s="5"/>
      <c r="G404" s="5"/>
      <c r="H404" s="5"/>
      <c r="I404" s="5"/>
      <c r="J404" s="5"/>
      <c r="K404" s="5"/>
    </row>
    <row r="405" spans="3:11" x14ac:dyDescent="0.25">
      <c r="C405" s="5"/>
      <c r="D405" s="5"/>
      <c r="E405" s="5"/>
      <c r="F405" s="5"/>
      <c r="G405" s="5"/>
      <c r="H405" s="5"/>
      <c r="I405" s="5"/>
      <c r="J405" s="5"/>
      <c r="K405" s="5"/>
    </row>
    <row r="406" spans="3:11" x14ac:dyDescent="0.25">
      <c r="C406" s="5"/>
      <c r="D406" s="5"/>
      <c r="E406" s="5"/>
      <c r="F406" s="5"/>
      <c r="G406" s="5"/>
      <c r="H406" s="5"/>
      <c r="I406" s="5"/>
      <c r="J406" s="5"/>
      <c r="K406" s="5"/>
    </row>
    <row r="407" spans="3:11" x14ac:dyDescent="0.25">
      <c r="C407" s="5"/>
      <c r="D407" s="5"/>
      <c r="E407" s="5"/>
      <c r="F407" s="5"/>
      <c r="G407" s="5"/>
      <c r="H407" s="5"/>
      <c r="I407" s="5"/>
      <c r="J407" s="5"/>
      <c r="K407" s="5"/>
    </row>
    <row r="408" spans="3:11" x14ac:dyDescent="0.25">
      <c r="C408" s="5"/>
      <c r="D408" s="5"/>
      <c r="E408" s="5"/>
      <c r="F408" s="5"/>
      <c r="G408" s="5"/>
      <c r="H408" s="5"/>
      <c r="I408" s="5"/>
      <c r="J408" s="5"/>
      <c r="K408" s="5"/>
    </row>
    <row r="409" spans="3:11" x14ac:dyDescent="0.25">
      <c r="C409" s="5"/>
      <c r="D409" s="5"/>
      <c r="E409" s="5"/>
      <c r="F409" s="5"/>
      <c r="G409" s="5"/>
      <c r="H409" s="5"/>
      <c r="I409" s="5"/>
      <c r="J409" s="5"/>
      <c r="K409" s="5"/>
    </row>
    <row r="410" spans="3:11" x14ac:dyDescent="0.25">
      <c r="C410" s="5"/>
      <c r="D410" s="5"/>
      <c r="E410" s="5"/>
      <c r="F410" s="5"/>
      <c r="G410" s="5"/>
      <c r="H410" s="5"/>
      <c r="I410" s="5"/>
      <c r="J410" s="5"/>
      <c r="K410" s="5"/>
    </row>
    <row r="411" spans="3:11" x14ac:dyDescent="0.25">
      <c r="C411" s="5"/>
      <c r="D411" s="5"/>
      <c r="E411" s="5"/>
      <c r="F411" s="5"/>
      <c r="G411" s="5"/>
      <c r="H411" s="5"/>
      <c r="I411" s="5"/>
      <c r="J411" s="5"/>
      <c r="K411" s="5"/>
    </row>
    <row r="412" spans="3:11" x14ac:dyDescent="0.25">
      <c r="C412" s="5"/>
      <c r="D412" s="5"/>
      <c r="E412" s="5"/>
      <c r="F412" s="5"/>
      <c r="G412" s="5"/>
      <c r="H412" s="5"/>
      <c r="I412" s="5"/>
      <c r="J412" s="5"/>
      <c r="K412" s="5"/>
    </row>
    <row r="413" spans="3:11" x14ac:dyDescent="0.25">
      <c r="C413" s="5"/>
      <c r="D413" s="5"/>
      <c r="E413" s="5"/>
      <c r="F413" s="5"/>
      <c r="G413" s="5"/>
      <c r="H413" s="5"/>
      <c r="I413" s="5"/>
      <c r="J413" s="5"/>
      <c r="K413" s="5"/>
    </row>
    <row r="414" spans="3:11" x14ac:dyDescent="0.25">
      <c r="C414" s="5"/>
      <c r="D414" s="5"/>
      <c r="E414" s="5"/>
      <c r="F414" s="5"/>
      <c r="G414" s="5"/>
      <c r="H414" s="5"/>
      <c r="I414" s="5"/>
      <c r="J414" s="5"/>
      <c r="K414" s="5"/>
    </row>
    <row r="415" spans="3:11" x14ac:dyDescent="0.25">
      <c r="C415" s="5"/>
      <c r="D415" s="5"/>
      <c r="E415" s="5"/>
      <c r="F415" s="5"/>
      <c r="G415" s="5"/>
      <c r="H415" s="5"/>
      <c r="I415" s="5"/>
      <c r="J415" s="5"/>
      <c r="K415" s="5"/>
    </row>
    <row r="416" spans="3:11" x14ac:dyDescent="0.25">
      <c r="C416" s="5"/>
      <c r="D416" s="5"/>
      <c r="E416" s="5"/>
      <c r="F416" s="5"/>
      <c r="G416" s="5"/>
      <c r="H416" s="5"/>
      <c r="I416" s="5"/>
      <c r="J416" s="5"/>
      <c r="K416" s="5"/>
    </row>
    <row r="417" spans="3:11" x14ac:dyDescent="0.25">
      <c r="C417" s="5"/>
      <c r="D417" s="5"/>
      <c r="E417" s="5"/>
      <c r="F417" s="5"/>
      <c r="G417" s="5"/>
      <c r="H417" s="5"/>
      <c r="I417" s="5"/>
      <c r="J417" s="5"/>
      <c r="K417" s="5"/>
    </row>
    <row r="418" spans="3:11" x14ac:dyDescent="0.25">
      <c r="C418" s="5"/>
      <c r="D418" s="5"/>
      <c r="E418" s="5"/>
      <c r="F418" s="5"/>
      <c r="G418" s="5"/>
      <c r="H418" s="5"/>
      <c r="I418" s="5"/>
      <c r="J418" s="5"/>
      <c r="K418" s="5"/>
    </row>
    <row r="419" spans="3:11" x14ac:dyDescent="0.25">
      <c r="C419" s="5"/>
      <c r="D419" s="5"/>
      <c r="E419" s="5"/>
      <c r="F419" s="5"/>
      <c r="G419" s="5"/>
      <c r="H419" s="5"/>
      <c r="I419" s="5"/>
      <c r="J419" s="5"/>
      <c r="K419" s="5"/>
    </row>
    <row r="420" spans="3:11" x14ac:dyDescent="0.25">
      <c r="C420" s="5"/>
      <c r="D420" s="5"/>
      <c r="E420" s="5"/>
      <c r="F420" s="5"/>
      <c r="G420" s="5"/>
      <c r="H420" s="5"/>
      <c r="I420" s="5"/>
      <c r="J420" s="5"/>
      <c r="K420" s="5"/>
    </row>
    <row r="421" spans="3:11" x14ac:dyDescent="0.25">
      <c r="C421" s="5"/>
      <c r="D421" s="5"/>
      <c r="E421" s="5"/>
      <c r="F421" s="5"/>
      <c r="G421" s="5"/>
      <c r="H421" s="5"/>
      <c r="I421" s="5"/>
      <c r="J421" s="5"/>
      <c r="K421" s="5"/>
    </row>
    <row r="422" spans="3:11" x14ac:dyDescent="0.25">
      <c r="C422" s="5"/>
      <c r="D422" s="5"/>
      <c r="E422" s="5"/>
      <c r="F422" s="5"/>
      <c r="G422" s="5"/>
      <c r="H422" s="5"/>
      <c r="I422" s="5"/>
      <c r="J422" s="5"/>
      <c r="K422" s="5"/>
    </row>
    <row r="423" spans="3:11" x14ac:dyDescent="0.25">
      <c r="C423" s="5"/>
      <c r="D423" s="5"/>
      <c r="E423" s="5"/>
      <c r="F423" s="5"/>
      <c r="G423" s="5"/>
      <c r="H423" s="5"/>
      <c r="I423" s="5"/>
      <c r="J423" s="5"/>
      <c r="K423" s="5"/>
    </row>
    <row r="424" spans="3:11" x14ac:dyDescent="0.25">
      <c r="C424" s="5"/>
      <c r="D424" s="5"/>
      <c r="E424" s="5"/>
      <c r="F424" s="5"/>
      <c r="G424" s="5"/>
      <c r="H424" s="5"/>
      <c r="I424" s="5"/>
      <c r="J424" s="5"/>
      <c r="K424" s="5"/>
    </row>
    <row r="425" spans="3:11" x14ac:dyDescent="0.25">
      <c r="C425" s="5"/>
      <c r="D425" s="5"/>
      <c r="E425" s="5"/>
      <c r="F425" s="5"/>
      <c r="G425" s="5"/>
      <c r="H425" s="5"/>
      <c r="I425" s="5"/>
      <c r="J425" s="5"/>
      <c r="K425" s="5"/>
    </row>
    <row r="426" spans="3:11" x14ac:dyDescent="0.25">
      <c r="C426" s="5"/>
      <c r="D426" s="5"/>
      <c r="E426" s="5"/>
      <c r="F426" s="5"/>
      <c r="G426" s="5"/>
      <c r="H426" s="5"/>
      <c r="I426" s="5"/>
      <c r="J426" s="5"/>
      <c r="K426" s="5"/>
    </row>
    <row r="427" spans="3:11" x14ac:dyDescent="0.25">
      <c r="C427" s="5"/>
      <c r="D427" s="5"/>
      <c r="E427" s="5"/>
      <c r="F427" s="5"/>
      <c r="G427" s="5"/>
      <c r="H427" s="5"/>
      <c r="I427" s="5"/>
      <c r="J427" s="5"/>
      <c r="K427" s="5"/>
    </row>
    <row r="428" spans="3:11" x14ac:dyDescent="0.25">
      <c r="C428" s="5"/>
      <c r="D428" s="5"/>
      <c r="E428" s="5"/>
      <c r="F428" s="5"/>
      <c r="G428" s="5"/>
      <c r="H428" s="5"/>
      <c r="I428" s="5"/>
      <c r="J428" s="5"/>
      <c r="K428" s="5"/>
    </row>
    <row r="429" spans="3:11" x14ac:dyDescent="0.25">
      <c r="C429" s="5"/>
      <c r="D429" s="5"/>
      <c r="E429" s="5"/>
      <c r="F429" s="5"/>
      <c r="G429" s="5"/>
      <c r="H429" s="5"/>
      <c r="I429" s="5"/>
      <c r="J429" s="5"/>
      <c r="K429" s="5"/>
    </row>
    <row r="430" spans="3:11" x14ac:dyDescent="0.25">
      <c r="C430" s="5"/>
      <c r="D430" s="5"/>
      <c r="E430" s="5"/>
      <c r="F430" s="5"/>
      <c r="G430" s="5"/>
      <c r="H430" s="5"/>
      <c r="I430" s="5"/>
      <c r="J430" s="5"/>
      <c r="K430" s="5"/>
    </row>
    <row r="431" spans="3:11" x14ac:dyDescent="0.25">
      <c r="C431" s="5"/>
      <c r="D431" s="5"/>
      <c r="E431" s="5"/>
      <c r="F431" s="5"/>
      <c r="G431" s="5"/>
      <c r="H431" s="5"/>
      <c r="I431" s="5"/>
      <c r="J431" s="5"/>
      <c r="K431" s="5"/>
    </row>
    <row r="432" spans="3:11" x14ac:dyDescent="0.25">
      <c r="C432" s="5"/>
      <c r="D432" s="5"/>
      <c r="E432" s="5"/>
      <c r="F432" s="5"/>
      <c r="G432" s="5"/>
      <c r="H432" s="5"/>
      <c r="I432" s="5"/>
      <c r="J432" s="5"/>
      <c r="K432" s="5"/>
    </row>
    <row r="433" spans="3:11" x14ac:dyDescent="0.25">
      <c r="C433" s="5"/>
      <c r="D433" s="5"/>
      <c r="E433" s="5"/>
      <c r="F433" s="5"/>
      <c r="G433" s="5"/>
      <c r="H433" s="5"/>
      <c r="I433" s="5"/>
      <c r="J433" s="5"/>
      <c r="K433" s="5"/>
    </row>
    <row r="434" spans="3:11" x14ac:dyDescent="0.25">
      <c r="C434" s="5"/>
      <c r="D434" s="5"/>
      <c r="E434" s="5"/>
      <c r="F434" s="5"/>
      <c r="G434" s="5"/>
      <c r="H434" s="5"/>
      <c r="I434" s="5"/>
      <c r="J434" s="5"/>
      <c r="K434" s="5"/>
    </row>
    <row r="435" spans="3:11" x14ac:dyDescent="0.25">
      <c r="C435" s="5"/>
      <c r="D435" s="5"/>
      <c r="E435" s="5"/>
      <c r="F435" s="5"/>
      <c r="G435" s="5"/>
      <c r="H435" s="5"/>
      <c r="I435" s="5"/>
      <c r="J435" s="5"/>
      <c r="K435" s="5"/>
    </row>
    <row r="436" spans="3:11" x14ac:dyDescent="0.25">
      <c r="C436" s="5"/>
      <c r="D436" s="5"/>
      <c r="E436" s="5"/>
      <c r="F436" s="5"/>
      <c r="G436" s="5"/>
      <c r="H436" s="5"/>
      <c r="I436" s="5"/>
      <c r="J436" s="5"/>
      <c r="K436" s="5"/>
    </row>
    <row r="437" spans="3:11" x14ac:dyDescent="0.25">
      <c r="C437" s="5"/>
      <c r="D437" s="5"/>
      <c r="E437" s="5"/>
      <c r="F437" s="5"/>
      <c r="G437" s="5"/>
      <c r="H437" s="5"/>
      <c r="I437" s="5"/>
      <c r="J437" s="5"/>
      <c r="K437" s="5"/>
    </row>
    <row r="438" spans="3:11" x14ac:dyDescent="0.25">
      <c r="C438" s="5"/>
      <c r="D438" s="5"/>
      <c r="E438" s="5"/>
      <c r="F438" s="5"/>
      <c r="G438" s="5"/>
      <c r="H438" s="5"/>
      <c r="I438" s="5"/>
      <c r="J438" s="5"/>
      <c r="K438" s="5"/>
    </row>
    <row r="439" spans="3:11" x14ac:dyDescent="0.25">
      <c r="C439" s="5"/>
      <c r="D439" s="5"/>
      <c r="E439" s="5"/>
      <c r="F439" s="5"/>
      <c r="G439" s="5"/>
      <c r="H439" s="5"/>
      <c r="I439" s="5"/>
      <c r="J439" s="5"/>
      <c r="K439" s="5"/>
    </row>
    <row r="440" spans="3:11" x14ac:dyDescent="0.25">
      <c r="C440" s="5"/>
      <c r="D440" s="5"/>
      <c r="E440" s="5"/>
      <c r="F440" s="5"/>
      <c r="G440" s="5"/>
      <c r="H440" s="5"/>
      <c r="I440" s="5"/>
      <c r="J440" s="5"/>
      <c r="K440" s="5"/>
    </row>
    <row r="441" spans="3:11" x14ac:dyDescent="0.25">
      <c r="C441" s="5"/>
      <c r="D441" s="5"/>
      <c r="E441" s="5"/>
      <c r="F441" s="5"/>
      <c r="G441" s="5"/>
      <c r="H441" s="5"/>
      <c r="I441" s="5"/>
      <c r="J441" s="5"/>
      <c r="K441" s="5"/>
    </row>
    <row r="442" spans="3:11" x14ac:dyDescent="0.25">
      <c r="C442" s="5"/>
      <c r="D442" s="5"/>
      <c r="E442" s="5"/>
      <c r="F442" s="5"/>
      <c r="G442" s="5"/>
      <c r="H442" s="5"/>
      <c r="I442" s="5"/>
      <c r="J442" s="5"/>
      <c r="K442" s="5"/>
    </row>
    <row r="443" spans="3:11" x14ac:dyDescent="0.25">
      <c r="C443" s="5"/>
      <c r="D443" s="5"/>
      <c r="E443" s="5"/>
      <c r="F443" s="5"/>
      <c r="G443" s="5"/>
      <c r="H443" s="5"/>
      <c r="I443" s="5"/>
      <c r="J443" s="5"/>
      <c r="K443" s="5"/>
    </row>
    <row r="444" spans="3:11" x14ac:dyDescent="0.25">
      <c r="C444" s="5"/>
      <c r="D444" s="5"/>
      <c r="E444" s="5"/>
      <c r="F444" s="5"/>
      <c r="G444" s="5"/>
      <c r="H444" s="5"/>
      <c r="I444" s="5"/>
      <c r="J444" s="5"/>
      <c r="K444" s="5"/>
    </row>
    <row r="445" spans="3:11" x14ac:dyDescent="0.25">
      <c r="C445" s="5"/>
      <c r="D445" s="5"/>
      <c r="E445" s="5"/>
      <c r="F445" s="5"/>
      <c r="G445" s="5"/>
      <c r="H445" s="5"/>
      <c r="I445" s="5"/>
      <c r="J445" s="5"/>
      <c r="K445" s="5"/>
    </row>
    <row r="446" spans="3:11" x14ac:dyDescent="0.25">
      <c r="C446" s="5"/>
      <c r="D446" s="5"/>
      <c r="E446" s="5"/>
      <c r="F446" s="5"/>
      <c r="G446" s="5"/>
      <c r="H446" s="5"/>
      <c r="I446" s="5"/>
      <c r="J446" s="5"/>
      <c r="K446" s="5"/>
    </row>
    <row r="447" spans="3:11" x14ac:dyDescent="0.25">
      <c r="C447" s="5"/>
      <c r="D447" s="5"/>
      <c r="E447" s="5"/>
      <c r="F447" s="5"/>
      <c r="G447" s="5"/>
      <c r="H447" s="5"/>
      <c r="I447" s="5"/>
      <c r="J447" s="5"/>
      <c r="K447" s="5"/>
    </row>
    <row r="448" spans="3:11" x14ac:dyDescent="0.25">
      <c r="C448" s="5"/>
      <c r="D448" s="5"/>
      <c r="E448" s="5"/>
      <c r="F448" s="5"/>
      <c r="G448" s="5"/>
      <c r="H448" s="5"/>
      <c r="I448" s="5"/>
      <c r="J448" s="5"/>
      <c r="K448" s="5"/>
    </row>
    <row r="449" spans="3:11" x14ac:dyDescent="0.25">
      <c r="C449" s="5"/>
      <c r="D449" s="5"/>
      <c r="E449" s="5"/>
      <c r="F449" s="5"/>
      <c r="G449" s="5"/>
      <c r="H449" s="5"/>
      <c r="I449" s="5"/>
      <c r="J449" s="5"/>
      <c r="K449" s="5"/>
    </row>
    <row r="450" spans="3:11" x14ac:dyDescent="0.25">
      <c r="C450" s="5"/>
      <c r="D450" s="5"/>
      <c r="E450" s="5"/>
      <c r="F450" s="5"/>
      <c r="G450" s="5"/>
      <c r="H450" s="5"/>
      <c r="I450" s="5"/>
      <c r="J450" s="5"/>
      <c r="K450" s="5"/>
    </row>
    <row r="451" spans="3:11" x14ac:dyDescent="0.25">
      <c r="C451" s="5"/>
      <c r="D451" s="5"/>
      <c r="E451" s="5"/>
      <c r="F451" s="5"/>
      <c r="G451" s="5"/>
      <c r="H451" s="5"/>
      <c r="I451" s="5"/>
      <c r="J451" s="5"/>
      <c r="K451" s="5"/>
    </row>
    <row r="452" spans="3:11" x14ac:dyDescent="0.25">
      <c r="C452" s="5"/>
      <c r="D452" s="5"/>
      <c r="E452" s="5"/>
      <c r="F452" s="5"/>
      <c r="G452" s="5"/>
      <c r="H452" s="5"/>
      <c r="I452" s="5"/>
      <c r="J452" s="5"/>
      <c r="K452" s="5"/>
    </row>
    <row r="453" spans="3:11" x14ac:dyDescent="0.25">
      <c r="C453" s="5"/>
      <c r="D453" s="5"/>
      <c r="E453" s="5"/>
      <c r="F453" s="5"/>
      <c r="G453" s="5"/>
      <c r="H453" s="5"/>
      <c r="I453" s="5"/>
      <c r="J453" s="5"/>
      <c r="K453" s="5"/>
    </row>
    <row r="454" spans="3:11" x14ac:dyDescent="0.25">
      <c r="C454" s="5"/>
      <c r="D454" s="5"/>
      <c r="E454" s="5"/>
      <c r="F454" s="5"/>
      <c r="G454" s="5"/>
      <c r="H454" s="5"/>
      <c r="I454" s="5"/>
      <c r="J454" s="5"/>
      <c r="K454" s="5"/>
    </row>
    <row r="455" spans="3:11" x14ac:dyDescent="0.25">
      <c r="C455" s="5"/>
      <c r="D455" s="5"/>
      <c r="E455" s="5"/>
      <c r="F455" s="5"/>
      <c r="G455" s="5"/>
      <c r="H455" s="5"/>
      <c r="I455" s="5"/>
      <c r="J455" s="5"/>
      <c r="K455" s="5"/>
    </row>
    <row r="456" spans="3:11" x14ac:dyDescent="0.25">
      <c r="C456" s="5"/>
      <c r="D456" s="5"/>
      <c r="E456" s="5"/>
      <c r="F456" s="5"/>
      <c r="G456" s="5"/>
      <c r="H456" s="5"/>
      <c r="I456" s="5"/>
      <c r="J456" s="5"/>
      <c r="K456" s="5"/>
    </row>
    <row r="457" spans="3:11" x14ac:dyDescent="0.25">
      <c r="C457" s="5"/>
      <c r="D457" s="5"/>
      <c r="E457" s="5"/>
      <c r="F457" s="5"/>
      <c r="G457" s="5"/>
      <c r="H457" s="5"/>
      <c r="I457" s="5"/>
      <c r="J457" s="5"/>
      <c r="K457" s="5"/>
    </row>
    <row r="458" spans="3:11" x14ac:dyDescent="0.25">
      <c r="C458" s="5"/>
      <c r="D458" s="5"/>
      <c r="E458" s="5"/>
      <c r="F458" s="5"/>
      <c r="G458" s="5"/>
      <c r="H458" s="5"/>
      <c r="I458" s="5"/>
      <c r="J458" s="5"/>
      <c r="K458" s="5"/>
    </row>
    <row r="459" spans="3:11" x14ac:dyDescent="0.25">
      <c r="C459" s="5"/>
      <c r="D459" s="5"/>
      <c r="E459" s="5"/>
      <c r="F459" s="5"/>
      <c r="G459" s="5"/>
      <c r="H459" s="5"/>
      <c r="I459" s="5"/>
      <c r="J459" s="5"/>
      <c r="K459" s="5"/>
    </row>
    <row r="460" spans="3:11" x14ac:dyDescent="0.25">
      <c r="C460" s="5"/>
      <c r="D460" s="5"/>
      <c r="E460" s="5"/>
      <c r="F460" s="5"/>
      <c r="G460" s="5"/>
      <c r="H460" s="5"/>
      <c r="I460" s="5"/>
      <c r="J460" s="5"/>
      <c r="K460" s="5"/>
    </row>
    <row r="461" spans="3:11" x14ac:dyDescent="0.25">
      <c r="C461" s="5"/>
      <c r="D461" s="5"/>
      <c r="E461" s="5"/>
      <c r="F461" s="5"/>
      <c r="G461" s="5"/>
      <c r="H461" s="5"/>
      <c r="I461" s="5"/>
      <c r="J461" s="5"/>
      <c r="K461" s="5"/>
    </row>
    <row r="462" spans="3:11" x14ac:dyDescent="0.25">
      <c r="C462" s="5"/>
      <c r="D462" s="5"/>
      <c r="E462" s="5"/>
      <c r="F462" s="5"/>
      <c r="G462" s="5"/>
      <c r="H462" s="5"/>
      <c r="I462" s="5"/>
      <c r="J462" s="5"/>
      <c r="K462" s="5"/>
    </row>
    <row r="463" spans="3:11" x14ac:dyDescent="0.25">
      <c r="C463" s="5"/>
      <c r="D463" s="5"/>
      <c r="E463" s="5"/>
      <c r="F463" s="5"/>
      <c r="G463" s="5"/>
      <c r="H463" s="5"/>
      <c r="I463" s="5"/>
      <c r="J463" s="5"/>
      <c r="K463" s="5"/>
    </row>
    <row r="464" spans="3:11" x14ac:dyDescent="0.25">
      <c r="C464" s="5"/>
      <c r="D464" s="5"/>
      <c r="E464" s="5"/>
      <c r="F464" s="5"/>
      <c r="G464" s="5"/>
      <c r="H464" s="5"/>
      <c r="I464" s="5"/>
      <c r="J464" s="5"/>
      <c r="K464" s="5"/>
    </row>
    <row r="465" spans="3:11" x14ac:dyDescent="0.25">
      <c r="C465" s="5"/>
      <c r="D465" s="5"/>
      <c r="E465" s="5"/>
      <c r="F465" s="5"/>
      <c r="G465" s="5"/>
      <c r="H465" s="5"/>
      <c r="I465" s="5"/>
      <c r="J465" s="5"/>
      <c r="K465" s="5"/>
    </row>
    <row r="466" spans="3:11" x14ac:dyDescent="0.25">
      <c r="C466" s="5"/>
      <c r="D466" s="5"/>
      <c r="E466" s="5"/>
      <c r="F466" s="5"/>
      <c r="G466" s="5"/>
      <c r="H466" s="5"/>
      <c r="I466" s="5"/>
      <c r="J466" s="5"/>
      <c r="K466" s="5"/>
    </row>
    <row r="467" spans="3:11" x14ac:dyDescent="0.25">
      <c r="C467" s="5"/>
      <c r="D467" s="5"/>
      <c r="E467" s="5"/>
      <c r="F467" s="5"/>
      <c r="G467" s="5"/>
      <c r="H467" s="5"/>
      <c r="I467" s="5"/>
      <c r="J467" s="5"/>
      <c r="K467" s="5"/>
    </row>
    <row r="468" spans="3:11" x14ac:dyDescent="0.25">
      <c r="C468" s="5"/>
      <c r="D468" s="5"/>
      <c r="E468" s="5"/>
      <c r="F468" s="5"/>
      <c r="G468" s="5"/>
      <c r="H468" s="5"/>
      <c r="I468" s="5"/>
      <c r="J468" s="5"/>
      <c r="K468" s="5"/>
    </row>
    <row r="469" spans="3:11" x14ac:dyDescent="0.25">
      <c r="C469" s="5"/>
      <c r="D469" s="5"/>
      <c r="E469" s="5"/>
      <c r="F469" s="5"/>
      <c r="G469" s="5"/>
      <c r="H469" s="5"/>
      <c r="I469" s="5"/>
      <c r="J469" s="5"/>
      <c r="K469" s="5"/>
    </row>
    <row r="470" spans="3:11" x14ac:dyDescent="0.25">
      <c r="C470" s="5"/>
      <c r="D470" s="5"/>
      <c r="E470" s="5"/>
      <c r="F470" s="5"/>
      <c r="G470" s="5"/>
      <c r="H470" s="5"/>
      <c r="I470" s="5"/>
      <c r="J470" s="5"/>
      <c r="K470" s="5"/>
    </row>
    <row r="471" spans="3:11" x14ac:dyDescent="0.25">
      <c r="C471" s="5"/>
      <c r="D471" s="5"/>
      <c r="E471" s="5"/>
      <c r="F471" s="5"/>
      <c r="G471" s="5"/>
      <c r="H471" s="5"/>
      <c r="I471" s="5"/>
      <c r="J471" s="5"/>
      <c r="K471" s="5"/>
    </row>
    <row r="472" spans="3:11" x14ac:dyDescent="0.25">
      <c r="C472" s="5"/>
      <c r="D472" s="5"/>
      <c r="E472" s="5"/>
      <c r="F472" s="5"/>
      <c r="G472" s="5"/>
      <c r="H472" s="5"/>
      <c r="I472" s="5"/>
      <c r="J472" s="5"/>
      <c r="K472" s="5"/>
    </row>
    <row r="473" spans="3:11" x14ac:dyDescent="0.25">
      <c r="C473" s="5"/>
      <c r="D473" s="5"/>
      <c r="E473" s="5"/>
      <c r="F473" s="5"/>
      <c r="G473" s="5"/>
      <c r="H473" s="5"/>
      <c r="I473" s="5"/>
      <c r="J473" s="5"/>
      <c r="K473" s="5"/>
    </row>
    <row r="474" spans="3:11" x14ac:dyDescent="0.25">
      <c r="C474" s="5"/>
      <c r="D474" s="5"/>
      <c r="E474" s="5"/>
      <c r="F474" s="5"/>
      <c r="G474" s="5"/>
      <c r="H474" s="5"/>
      <c r="I474" s="5"/>
      <c r="J474" s="5"/>
      <c r="K474" s="5"/>
    </row>
    <row r="475" spans="3:11" x14ac:dyDescent="0.25">
      <c r="C475" s="5"/>
      <c r="D475" s="5"/>
      <c r="E475" s="5"/>
      <c r="F475" s="5"/>
      <c r="G475" s="5"/>
      <c r="H475" s="5"/>
      <c r="I475" s="5"/>
      <c r="J475" s="5"/>
      <c r="K475" s="5"/>
    </row>
    <row r="476" spans="3:11" x14ac:dyDescent="0.25">
      <c r="C476" s="5"/>
      <c r="D476" s="5"/>
      <c r="E476" s="5"/>
      <c r="F476" s="5"/>
      <c r="G476" s="5"/>
      <c r="H476" s="5"/>
      <c r="I476" s="5"/>
      <c r="J476" s="5"/>
      <c r="K476" s="5"/>
    </row>
    <row r="477" spans="3:11" x14ac:dyDescent="0.25">
      <c r="C477" s="5"/>
      <c r="D477" s="5"/>
      <c r="E477" s="5"/>
      <c r="F477" s="5"/>
      <c r="G477" s="5"/>
      <c r="H477" s="5"/>
      <c r="I477" s="5"/>
      <c r="J477" s="5"/>
      <c r="K477" s="5"/>
    </row>
    <row r="478" spans="3:11" x14ac:dyDescent="0.25">
      <c r="C478" s="5"/>
      <c r="D478" s="5"/>
      <c r="E478" s="5"/>
      <c r="F478" s="5"/>
      <c r="G478" s="5"/>
      <c r="H478" s="5"/>
      <c r="I478" s="5"/>
      <c r="J478" s="5"/>
      <c r="K478" s="5"/>
    </row>
    <row r="479" spans="3:11" x14ac:dyDescent="0.25">
      <c r="C479" s="5"/>
      <c r="D479" s="5"/>
      <c r="E479" s="5"/>
      <c r="F479" s="5"/>
      <c r="G479" s="5"/>
      <c r="H479" s="5"/>
      <c r="I479" s="5"/>
      <c r="J479" s="5"/>
      <c r="K479" s="5"/>
    </row>
    <row r="480" spans="3:11" x14ac:dyDescent="0.25">
      <c r="C480" s="5"/>
      <c r="D480" s="5"/>
      <c r="E480" s="5"/>
      <c r="F480" s="5"/>
      <c r="G480" s="5"/>
      <c r="H480" s="5"/>
      <c r="I480" s="5"/>
      <c r="J480" s="5"/>
      <c r="K480" s="5"/>
    </row>
    <row r="481" spans="3:11" x14ac:dyDescent="0.25">
      <c r="C481" s="5"/>
      <c r="D481" s="5"/>
      <c r="E481" s="5"/>
      <c r="F481" s="5"/>
      <c r="G481" s="5"/>
      <c r="H481" s="5"/>
      <c r="I481" s="5"/>
      <c r="J481" s="5"/>
      <c r="K481" s="5"/>
    </row>
    <row r="482" spans="3:11" x14ac:dyDescent="0.25">
      <c r="C482" s="5"/>
      <c r="D482" s="5"/>
      <c r="E482" s="5"/>
      <c r="F482" s="5"/>
      <c r="G482" s="5"/>
      <c r="H482" s="5"/>
      <c r="I482" s="5"/>
      <c r="J482" s="5"/>
      <c r="K482" s="5"/>
    </row>
    <row r="483" spans="3:11" x14ac:dyDescent="0.25">
      <c r="C483" s="5"/>
      <c r="D483" s="5"/>
      <c r="E483" s="5"/>
      <c r="F483" s="5"/>
      <c r="G483" s="5"/>
      <c r="H483" s="5"/>
      <c r="I483" s="5"/>
      <c r="J483" s="5"/>
      <c r="K483" s="5"/>
    </row>
    <row r="484" spans="3:11" x14ac:dyDescent="0.25">
      <c r="C484" s="5"/>
      <c r="D484" s="5"/>
      <c r="E484" s="5"/>
      <c r="F484" s="5"/>
      <c r="G484" s="5"/>
      <c r="H484" s="5"/>
      <c r="I484" s="5"/>
      <c r="J484" s="5"/>
      <c r="K484" s="5"/>
    </row>
    <row r="485" spans="3:11" x14ac:dyDescent="0.25">
      <c r="C485" s="5"/>
      <c r="D485" s="5"/>
      <c r="E485" s="5"/>
      <c r="F485" s="5"/>
      <c r="G485" s="5"/>
      <c r="H485" s="5"/>
      <c r="I485" s="5"/>
      <c r="J485" s="5"/>
      <c r="K485" s="5"/>
    </row>
    <row r="486" spans="3:11" x14ac:dyDescent="0.25">
      <c r="C486" s="5"/>
      <c r="D486" s="5"/>
      <c r="E486" s="5"/>
      <c r="F486" s="5"/>
      <c r="G486" s="5"/>
      <c r="H486" s="5"/>
      <c r="I486" s="5"/>
      <c r="J486" s="5"/>
      <c r="K486" s="5"/>
    </row>
    <row r="487" spans="3:11" x14ac:dyDescent="0.25">
      <c r="C487" s="5"/>
      <c r="D487" s="5"/>
      <c r="E487" s="5"/>
      <c r="F487" s="5"/>
      <c r="G487" s="5"/>
      <c r="H487" s="5"/>
      <c r="I487" s="5"/>
      <c r="J487" s="5"/>
      <c r="K487" s="5"/>
    </row>
    <row r="488" spans="3:11" x14ac:dyDescent="0.25">
      <c r="C488" s="5"/>
      <c r="D488" s="5"/>
      <c r="E488" s="5"/>
      <c r="F488" s="5"/>
      <c r="G488" s="5"/>
      <c r="H488" s="5"/>
      <c r="I488" s="5"/>
      <c r="J488" s="5"/>
      <c r="K488" s="5"/>
    </row>
    <row r="489" spans="3:11" x14ac:dyDescent="0.25">
      <c r="C489" s="5"/>
      <c r="D489" s="5"/>
      <c r="E489" s="5"/>
      <c r="F489" s="5"/>
      <c r="G489" s="5"/>
      <c r="H489" s="5"/>
      <c r="I489" s="5"/>
      <c r="J489" s="5"/>
      <c r="K489" s="5"/>
    </row>
    <row r="490" spans="3:11" x14ac:dyDescent="0.25">
      <c r="C490" s="5"/>
      <c r="D490" s="5"/>
      <c r="E490" s="5"/>
      <c r="F490" s="5"/>
      <c r="G490" s="5"/>
      <c r="H490" s="5"/>
      <c r="I490" s="5"/>
      <c r="J490" s="5"/>
      <c r="K490" s="5"/>
    </row>
    <row r="491" spans="3:11" x14ac:dyDescent="0.25">
      <c r="C491" s="5"/>
      <c r="D491" s="5"/>
      <c r="E491" s="5"/>
      <c r="F491" s="5"/>
      <c r="G491" s="5"/>
      <c r="H491" s="5"/>
      <c r="I491" s="5"/>
      <c r="J491" s="5"/>
      <c r="K491" s="5"/>
    </row>
    <row r="492" spans="3:11" x14ac:dyDescent="0.25">
      <c r="C492" s="5"/>
      <c r="D492" s="5"/>
      <c r="E492" s="5"/>
      <c r="F492" s="5"/>
      <c r="G492" s="5"/>
      <c r="H492" s="5"/>
      <c r="I492" s="5"/>
      <c r="J492" s="5"/>
      <c r="K492" s="5"/>
    </row>
    <row r="493" spans="3:11" x14ac:dyDescent="0.25">
      <c r="C493" s="5"/>
      <c r="D493" s="5"/>
      <c r="E493" s="5"/>
      <c r="F493" s="5"/>
      <c r="G493" s="5"/>
      <c r="H493" s="5"/>
      <c r="I493" s="5"/>
      <c r="J493" s="5"/>
      <c r="K493" s="5"/>
    </row>
    <row r="494" spans="3:11" x14ac:dyDescent="0.25">
      <c r="C494" s="5"/>
      <c r="D494" s="5"/>
      <c r="E494" s="5"/>
      <c r="F494" s="5"/>
      <c r="G494" s="5"/>
      <c r="H494" s="5"/>
      <c r="I494" s="5"/>
      <c r="J494" s="5"/>
      <c r="K494" s="5"/>
    </row>
    <row r="495" spans="3:11" x14ac:dyDescent="0.25">
      <c r="C495" s="5"/>
      <c r="D495" s="5"/>
      <c r="E495" s="5"/>
      <c r="F495" s="5"/>
      <c r="G495" s="5"/>
      <c r="H495" s="5"/>
      <c r="I495" s="5"/>
      <c r="J495" s="5"/>
      <c r="K495" s="5"/>
    </row>
    <row r="496" spans="3:11" x14ac:dyDescent="0.25">
      <c r="C496" s="5"/>
      <c r="D496" s="5"/>
      <c r="E496" s="5"/>
      <c r="F496" s="5"/>
      <c r="G496" s="5"/>
      <c r="H496" s="5"/>
      <c r="I496" s="5"/>
      <c r="J496" s="5"/>
      <c r="K496" s="5"/>
    </row>
    <row r="497" spans="3:11" x14ac:dyDescent="0.25">
      <c r="C497" s="5"/>
      <c r="D497" s="5"/>
      <c r="E497" s="5"/>
      <c r="F497" s="5"/>
      <c r="G497" s="5"/>
      <c r="H497" s="5"/>
      <c r="I497" s="5"/>
      <c r="J497" s="5"/>
      <c r="K497" s="5"/>
    </row>
    <row r="498" spans="3:11" x14ac:dyDescent="0.25">
      <c r="C498" s="5"/>
      <c r="D498" s="5"/>
      <c r="E498" s="5"/>
      <c r="F498" s="5"/>
      <c r="G498" s="5"/>
      <c r="H498" s="5"/>
      <c r="I498" s="5"/>
      <c r="J498" s="5"/>
      <c r="K498" s="5"/>
    </row>
    <row r="499" spans="3:11" x14ac:dyDescent="0.25">
      <c r="C499" s="5"/>
      <c r="D499" s="5"/>
      <c r="E499" s="5"/>
      <c r="F499" s="5"/>
      <c r="G499" s="5"/>
      <c r="H499" s="5"/>
      <c r="I499" s="5"/>
      <c r="J499" s="5"/>
      <c r="K499" s="5"/>
    </row>
    <row r="500" spans="3:11" x14ac:dyDescent="0.25">
      <c r="C500" s="5"/>
      <c r="D500" s="5"/>
      <c r="E500" s="5"/>
      <c r="F500" s="5"/>
      <c r="G500" s="5"/>
      <c r="H500" s="5"/>
      <c r="I500" s="5"/>
      <c r="J500" s="5"/>
      <c r="K500" s="5"/>
    </row>
    <row r="501" spans="3:11" x14ac:dyDescent="0.25">
      <c r="C501" s="5"/>
      <c r="D501" s="5"/>
      <c r="E501" s="5"/>
      <c r="F501" s="5"/>
      <c r="G501" s="5"/>
      <c r="H501" s="5"/>
      <c r="I501" s="5"/>
      <c r="J501" s="5"/>
      <c r="K501" s="5"/>
    </row>
    <row r="502" spans="3:11" x14ac:dyDescent="0.25">
      <c r="C502" s="5"/>
      <c r="D502" s="5"/>
      <c r="E502" s="5"/>
      <c r="F502" s="5"/>
      <c r="G502" s="5"/>
      <c r="H502" s="5"/>
      <c r="I502" s="5"/>
      <c r="J502" s="5"/>
      <c r="K502" s="5"/>
    </row>
    <row r="503" spans="3:11" x14ac:dyDescent="0.25">
      <c r="C503" s="5"/>
      <c r="D503" s="5"/>
      <c r="E503" s="5"/>
      <c r="F503" s="5"/>
      <c r="G503" s="5"/>
      <c r="H503" s="5"/>
      <c r="I503" s="5"/>
      <c r="J503" s="5"/>
      <c r="K503" s="5"/>
    </row>
    <row r="504" spans="3:11" x14ac:dyDescent="0.25">
      <c r="C504" s="5"/>
      <c r="D504" s="5"/>
      <c r="E504" s="5"/>
      <c r="F504" s="5"/>
      <c r="G504" s="5"/>
      <c r="H504" s="5"/>
      <c r="I504" s="5"/>
      <c r="J504" s="5"/>
      <c r="K504" s="5"/>
    </row>
    <row r="505" spans="3:11" x14ac:dyDescent="0.25">
      <c r="C505" s="5"/>
      <c r="D505" s="5"/>
      <c r="E505" s="5"/>
      <c r="F505" s="5"/>
      <c r="G505" s="5"/>
      <c r="H505" s="5"/>
      <c r="I505" s="5"/>
      <c r="J505" s="5"/>
      <c r="K505" s="5"/>
    </row>
    <row r="506" spans="3:11" x14ac:dyDescent="0.25">
      <c r="C506" s="5"/>
      <c r="D506" s="5"/>
      <c r="E506" s="5"/>
      <c r="F506" s="5"/>
      <c r="G506" s="5"/>
      <c r="H506" s="5"/>
      <c r="I506" s="5"/>
      <c r="J506" s="5"/>
      <c r="K506" s="5"/>
    </row>
    <row r="507" spans="3:11" x14ac:dyDescent="0.25">
      <c r="C507" s="5"/>
      <c r="D507" s="5"/>
      <c r="E507" s="5"/>
      <c r="F507" s="5"/>
      <c r="G507" s="5"/>
      <c r="H507" s="5"/>
      <c r="I507" s="5"/>
      <c r="J507" s="5"/>
      <c r="K507" s="5"/>
    </row>
    <row r="508" spans="3:11" x14ac:dyDescent="0.25">
      <c r="C508" s="5"/>
      <c r="D508" s="5"/>
      <c r="E508" s="5"/>
      <c r="F508" s="5"/>
      <c r="G508" s="5"/>
      <c r="H508" s="5"/>
      <c r="I508" s="5"/>
      <c r="J508" s="5"/>
      <c r="K508" s="5"/>
    </row>
    <row r="509" spans="3:11" x14ac:dyDescent="0.25">
      <c r="C509" s="5"/>
      <c r="D509" s="5"/>
      <c r="E509" s="5"/>
      <c r="F509" s="5"/>
      <c r="G509" s="5"/>
      <c r="H509" s="5"/>
      <c r="I509" s="5"/>
      <c r="J509" s="5"/>
      <c r="K509" s="5"/>
    </row>
    <row r="510" spans="3:11" x14ac:dyDescent="0.25">
      <c r="C510" s="5"/>
      <c r="D510" s="5"/>
      <c r="E510" s="5"/>
      <c r="F510" s="5"/>
      <c r="G510" s="5"/>
      <c r="H510" s="5"/>
      <c r="I510" s="5"/>
      <c r="J510" s="5"/>
      <c r="K510" s="5"/>
    </row>
    <row r="511" spans="3:11" x14ac:dyDescent="0.25">
      <c r="C511" s="5"/>
      <c r="D511" s="5"/>
      <c r="E511" s="5"/>
      <c r="F511" s="5"/>
      <c r="G511" s="5"/>
      <c r="H511" s="5"/>
      <c r="I511" s="5"/>
      <c r="J511" s="5"/>
      <c r="K511" s="5"/>
    </row>
    <row r="512" spans="3:11" x14ac:dyDescent="0.25">
      <c r="C512" s="5"/>
      <c r="D512" s="5"/>
      <c r="E512" s="5"/>
      <c r="F512" s="5"/>
      <c r="G512" s="5"/>
      <c r="H512" s="5"/>
      <c r="I512" s="5"/>
      <c r="J512" s="5"/>
      <c r="K512" s="5"/>
    </row>
    <row r="513" spans="3:11" x14ac:dyDescent="0.25">
      <c r="C513" s="5"/>
      <c r="D513" s="5"/>
      <c r="E513" s="5"/>
      <c r="F513" s="5"/>
      <c r="G513" s="5"/>
      <c r="H513" s="5"/>
      <c r="I513" s="5"/>
      <c r="J513" s="5"/>
      <c r="K513" s="5"/>
    </row>
    <row r="514" spans="3:11" x14ac:dyDescent="0.25">
      <c r="C514" s="5"/>
      <c r="D514" s="5"/>
      <c r="E514" s="5"/>
      <c r="F514" s="5"/>
      <c r="G514" s="5"/>
      <c r="H514" s="5"/>
      <c r="I514" s="5"/>
      <c r="J514" s="5"/>
      <c r="K514" s="5"/>
    </row>
    <row r="515" spans="3:11" x14ac:dyDescent="0.25">
      <c r="C515" s="5"/>
      <c r="D515" s="5"/>
      <c r="E515" s="5"/>
      <c r="F515" s="5"/>
      <c r="G515" s="5"/>
      <c r="H515" s="5"/>
      <c r="I515" s="5"/>
      <c r="J515" s="5"/>
      <c r="K515" s="5"/>
    </row>
    <row r="516" spans="3:11" x14ac:dyDescent="0.25">
      <c r="C516" s="5"/>
      <c r="D516" s="5"/>
      <c r="E516" s="5"/>
      <c r="F516" s="5"/>
      <c r="G516" s="5"/>
      <c r="H516" s="5"/>
      <c r="I516" s="5"/>
      <c r="J516" s="5"/>
      <c r="K516" s="5"/>
    </row>
    <row r="517" spans="3:11" x14ac:dyDescent="0.25">
      <c r="C517" s="5"/>
      <c r="D517" s="5"/>
      <c r="E517" s="5"/>
      <c r="F517" s="5"/>
      <c r="G517" s="5"/>
      <c r="H517" s="5"/>
      <c r="I517" s="5"/>
      <c r="J517" s="5"/>
      <c r="K517" s="5"/>
    </row>
    <row r="518" spans="3:11" x14ac:dyDescent="0.25">
      <c r="C518" s="5"/>
      <c r="D518" s="5"/>
      <c r="E518" s="5"/>
      <c r="F518" s="5"/>
      <c r="G518" s="5"/>
      <c r="H518" s="5"/>
      <c r="I518" s="5"/>
      <c r="J518" s="5"/>
      <c r="K518" s="5"/>
    </row>
    <row r="519" spans="3:11" x14ac:dyDescent="0.25">
      <c r="C519" s="5"/>
      <c r="D519" s="5"/>
      <c r="E519" s="5"/>
      <c r="F519" s="5"/>
      <c r="G519" s="5"/>
      <c r="H519" s="5"/>
      <c r="I519" s="5"/>
      <c r="J519" s="5"/>
      <c r="K519" s="5"/>
    </row>
    <row r="520" spans="3:11" x14ac:dyDescent="0.25">
      <c r="C520" s="5"/>
      <c r="D520" s="5"/>
      <c r="E520" s="5"/>
      <c r="F520" s="5"/>
      <c r="G520" s="5"/>
      <c r="H520" s="5"/>
      <c r="I520" s="5"/>
      <c r="J520" s="5"/>
      <c r="K520" s="5"/>
    </row>
    <row r="521" spans="3:11" x14ac:dyDescent="0.25">
      <c r="C521" s="5"/>
      <c r="D521" s="5"/>
      <c r="E521" s="5"/>
      <c r="F521" s="5"/>
      <c r="G521" s="5"/>
      <c r="H521" s="5"/>
      <c r="I521" s="5"/>
      <c r="J521" s="5"/>
      <c r="K521" s="5"/>
    </row>
    <row r="522" spans="3:11" x14ac:dyDescent="0.25">
      <c r="C522" s="5"/>
      <c r="D522" s="5"/>
      <c r="E522" s="5"/>
      <c r="F522" s="5"/>
      <c r="G522" s="5"/>
      <c r="H522" s="5"/>
      <c r="I522" s="5"/>
      <c r="J522" s="5"/>
      <c r="K522" s="5"/>
    </row>
    <row r="523" spans="3:11" x14ac:dyDescent="0.25">
      <c r="C523" s="5"/>
      <c r="D523" s="5"/>
      <c r="E523" s="5"/>
      <c r="F523" s="5"/>
      <c r="G523" s="5"/>
      <c r="H523" s="5"/>
      <c r="I523" s="5"/>
      <c r="J523" s="5"/>
      <c r="K523" s="5"/>
    </row>
    <row r="524" spans="3:11" x14ac:dyDescent="0.25">
      <c r="C524" s="5"/>
      <c r="D524" s="5"/>
      <c r="E524" s="5"/>
      <c r="F524" s="5"/>
      <c r="G524" s="5"/>
      <c r="H524" s="5"/>
      <c r="I524" s="5"/>
      <c r="J524" s="5"/>
      <c r="K524" s="5"/>
    </row>
    <row r="525" spans="3:11" x14ac:dyDescent="0.25">
      <c r="C525" s="5"/>
      <c r="D525" s="5"/>
      <c r="E525" s="5"/>
      <c r="F525" s="5"/>
      <c r="G525" s="5"/>
      <c r="H525" s="5"/>
      <c r="I525" s="5"/>
      <c r="J525" s="5"/>
      <c r="K525" s="5"/>
    </row>
    <row r="526" spans="3:11" x14ac:dyDescent="0.25">
      <c r="C526" s="5"/>
      <c r="D526" s="5"/>
      <c r="E526" s="5"/>
      <c r="F526" s="5"/>
      <c r="G526" s="5"/>
      <c r="H526" s="5"/>
      <c r="I526" s="5"/>
      <c r="J526" s="5"/>
      <c r="K526" s="5"/>
    </row>
    <row r="527" spans="3:11" x14ac:dyDescent="0.25">
      <c r="C527" s="5"/>
      <c r="D527" s="5"/>
      <c r="E527" s="5"/>
      <c r="F527" s="5"/>
      <c r="G527" s="5"/>
      <c r="H527" s="5"/>
      <c r="I527" s="5"/>
      <c r="J527" s="5"/>
      <c r="K527" s="5"/>
    </row>
    <row r="528" spans="3:11" x14ac:dyDescent="0.25">
      <c r="C528" s="5"/>
      <c r="D528" s="5"/>
      <c r="E528" s="5"/>
      <c r="F528" s="5"/>
      <c r="G528" s="5"/>
      <c r="H528" s="5"/>
      <c r="I528" s="5"/>
      <c r="J528" s="5"/>
      <c r="K528" s="5"/>
    </row>
    <row r="529" spans="3:11" x14ac:dyDescent="0.25">
      <c r="C529" s="5"/>
      <c r="D529" s="5"/>
      <c r="E529" s="5"/>
      <c r="F529" s="5"/>
      <c r="G529" s="5"/>
      <c r="H529" s="5"/>
      <c r="I529" s="5"/>
      <c r="J529" s="5"/>
      <c r="K529" s="5"/>
    </row>
    <row r="530" spans="3:11" x14ac:dyDescent="0.25">
      <c r="C530" s="5"/>
      <c r="D530" s="5"/>
      <c r="E530" s="5"/>
      <c r="F530" s="5"/>
      <c r="G530" s="5"/>
      <c r="H530" s="5"/>
      <c r="I530" s="5"/>
      <c r="J530" s="5"/>
      <c r="K530" s="5"/>
    </row>
    <row r="531" spans="3:11" x14ac:dyDescent="0.25">
      <c r="C531" s="5"/>
      <c r="D531" s="5"/>
      <c r="E531" s="5"/>
      <c r="F531" s="5"/>
      <c r="G531" s="5"/>
      <c r="H531" s="5"/>
      <c r="I531" s="5"/>
      <c r="J531" s="5"/>
      <c r="K531" s="5"/>
    </row>
    <row r="532" spans="3:11" x14ac:dyDescent="0.25">
      <c r="C532" s="5"/>
      <c r="D532" s="5"/>
      <c r="E532" s="5"/>
      <c r="F532" s="5"/>
      <c r="G532" s="5"/>
      <c r="H532" s="5"/>
      <c r="I532" s="5"/>
      <c r="J532" s="5"/>
      <c r="K532" s="5"/>
    </row>
    <row r="533" spans="3:11" x14ac:dyDescent="0.25">
      <c r="C533" s="5"/>
      <c r="D533" s="5"/>
      <c r="E533" s="5"/>
      <c r="F533" s="5"/>
      <c r="G533" s="5"/>
      <c r="H533" s="5"/>
      <c r="I533" s="5"/>
      <c r="J533" s="5"/>
      <c r="K533" s="5"/>
    </row>
    <row r="534" spans="3:11" x14ac:dyDescent="0.25">
      <c r="C534" s="5"/>
      <c r="D534" s="5"/>
      <c r="E534" s="5"/>
      <c r="F534" s="5"/>
      <c r="G534" s="5"/>
      <c r="H534" s="5"/>
      <c r="I534" s="5"/>
      <c r="J534" s="5"/>
      <c r="K534" s="5"/>
    </row>
    <row r="535" spans="3:11" x14ac:dyDescent="0.25">
      <c r="C535" s="5"/>
      <c r="D535" s="5"/>
      <c r="E535" s="5"/>
      <c r="F535" s="5"/>
      <c r="G535" s="5"/>
      <c r="H535" s="5"/>
      <c r="I535" s="5"/>
      <c r="J535" s="5"/>
      <c r="K535" s="5"/>
    </row>
    <row r="536" spans="3:11" x14ac:dyDescent="0.25">
      <c r="C536" s="5"/>
      <c r="D536" s="5"/>
      <c r="E536" s="5"/>
      <c r="F536" s="5"/>
      <c r="G536" s="5"/>
      <c r="H536" s="5"/>
      <c r="I536" s="5"/>
      <c r="J536" s="5"/>
      <c r="K536" s="5"/>
    </row>
    <row r="537" spans="3:11" x14ac:dyDescent="0.25">
      <c r="C537" s="5"/>
      <c r="D537" s="5"/>
      <c r="E537" s="5"/>
      <c r="F537" s="5"/>
      <c r="G537" s="5"/>
      <c r="H537" s="5"/>
      <c r="I537" s="5"/>
      <c r="J537" s="5"/>
      <c r="K537" s="5"/>
    </row>
    <row r="538" spans="3:11" x14ac:dyDescent="0.25">
      <c r="C538" s="5"/>
      <c r="D538" s="5"/>
      <c r="E538" s="5"/>
      <c r="F538" s="5"/>
      <c r="G538" s="5"/>
      <c r="H538" s="5"/>
      <c r="I538" s="5"/>
      <c r="J538" s="5"/>
      <c r="K538" s="5"/>
    </row>
    <row r="539" spans="3:11" x14ac:dyDescent="0.25">
      <c r="C539" s="5"/>
      <c r="D539" s="5"/>
      <c r="E539" s="5"/>
      <c r="F539" s="5"/>
      <c r="G539" s="5"/>
      <c r="H539" s="5"/>
      <c r="I539" s="5"/>
      <c r="J539" s="5"/>
      <c r="K539" s="5"/>
    </row>
    <row r="540" spans="3:11" x14ac:dyDescent="0.25">
      <c r="C540" s="5"/>
      <c r="D540" s="5"/>
      <c r="E540" s="5"/>
      <c r="F540" s="5"/>
      <c r="G540" s="5"/>
      <c r="H540" s="5"/>
      <c r="I540" s="5"/>
      <c r="J540" s="5"/>
      <c r="K540" s="5"/>
    </row>
    <row r="541" spans="3:11" x14ac:dyDescent="0.25">
      <c r="C541" s="5"/>
      <c r="D541" s="5"/>
      <c r="E541" s="5"/>
      <c r="F541" s="5"/>
      <c r="G541" s="5"/>
      <c r="H541" s="5"/>
      <c r="I541" s="5"/>
      <c r="J541" s="5"/>
      <c r="K541" s="5"/>
    </row>
    <row r="542" spans="3:11" x14ac:dyDescent="0.25">
      <c r="C542" s="5"/>
      <c r="D542" s="5"/>
      <c r="E542" s="5"/>
      <c r="F542" s="5"/>
      <c r="G542" s="5"/>
      <c r="H542" s="5"/>
      <c r="I542" s="5"/>
      <c r="J542" s="5"/>
      <c r="K542" s="5"/>
    </row>
    <row r="543" spans="3:11" x14ac:dyDescent="0.25">
      <c r="C543" s="5"/>
      <c r="D543" s="5"/>
      <c r="E543" s="5"/>
      <c r="F543" s="5"/>
      <c r="G543" s="5"/>
      <c r="H543" s="5"/>
      <c r="I543" s="5"/>
      <c r="J543" s="5"/>
      <c r="K543" s="5"/>
    </row>
    <row r="544" spans="3:11" x14ac:dyDescent="0.25">
      <c r="C544" s="5"/>
      <c r="D544" s="5"/>
      <c r="E544" s="5"/>
      <c r="F544" s="5"/>
      <c r="G544" s="5"/>
      <c r="H544" s="5"/>
      <c r="I544" s="5"/>
      <c r="J544" s="5"/>
      <c r="K544" s="5"/>
    </row>
    <row r="545" spans="3:11" x14ac:dyDescent="0.25">
      <c r="C545" s="5"/>
      <c r="D545" s="5"/>
      <c r="E545" s="5"/>
      <c r="F545" s="5"/>
      <c r="G545" s="5"/>
      <c r="H545" s="5"/>
      <c r="I545" s="5"/>
      <c r="J545" s="5"/>
      <c r="K545" s="5"/>
    </row>
    <row r="546" spans="3:11" x14ac:dyDescent="0.25">
      <c r="C546" s="5"/>
      <c r="D546" s="5"/>
      <c r="E546" s="5"/>
      <c r="F546" s="5"/>
      <c r="G546" s="5"/>
      <c r="H546" s="5"/>
      <c r="I546" s="5"/>
      <c r="J546" s="5"/>
      <c r="K546" s="5"/>
    </row>
    <row r="547" spans="3:11" x14ac:dyDescent="0.25">
      <c r="C547" s="5"/>
      <c r="D547" s="5"/>
      <c r="E547" s="5"/>
      <c r="F547" s="5"/>
      <c r="G547" s="5"/>
      <c r="H547" s="5"/>
      <c r="I547" s="5"/>
      <c r="J547" s="5"/>
      <c r="K547" s="5"/>
    </row>
    <row r="548" spans="3:11" x14ac:dyDescent="0.25">
      <c r="C548" s="5"/>
      <c r="D548" s="5"/>
      <c r="E548" s="5"/>
      <c r="F548" s="5"/>
      <c r="G548" s="5"/>
      <c r="H548" s="5"/>
      <c r="I548" s="5"/>
      <c r="J548" s="5"/>
      <c r="K548" s="5"/>
    </row>
    <row r="549" spans="3:11" x14ac:dyDescent="0.25">
      <c r="C549" s="5"/>
      <c r="D549" s="5"/>
      <c r="E549" s="5"/>
      <c r="F549" s="5"/>
      <c r="G549" s="5"/>
      <c r="H549" s="5"/>
      <c r="I549" s="5"/>
      <c r="J549" s="5"/>
      <c r="K549" s="5"/>
    </row>
    <row r="550" spans="3:11" x14ac:dyDescent="0.25">
      <c r="C550" s="5"/>
      <c r="D550" s="5"/>
      <c r="E550" s="5"/>
      <c r="F550" s="5"/>
      <c r="G550" s="5"/>
      <c r="H550" s="5"/>
      <c r="I550" s="5"/>
      <c r="J550" s="5"/>
      <c r="K550" s="5"/>
    </row>
    <row r="551" spans="3:11" x14ac:dyDescent="0.25">
      <c r="C551" s="5"/>
      <c r="D551" s="5"/>
      <c r="E551" s="5"/>
      <c r="F551" s="5"/>
      <c r="G551" s="5"/>
      <c r="H551" s="5"/>
      <c r="I551" s="5"/>
      <c r="J551" s="5"/>
      <c r="K551" s="5"/>
    </row>
    <row r="552" spans="3:11" x14ac:dyDescent="0.25">
      <c r="C552" s="5"/>
      <c r="D552" s="5"/>
      <c r="E552" s="5"/>
      <c r="F552" s="5"/>
      <c r="G552" s="5"/>
      <c r="H552" s="5"/>
      <c r="I552" s="5"/>
      <c r="J552" s="5"/>
      <c r="K552" s="5"/>
    </row>
    <row r="553" spans="3:11" x14ac:dyDescent="0.25">
      <c r="C553" s="5"/>
      <c r="D553" s="5"/>
      <c r="E553" s="5"/>
      <c r="F553" s="5"/>
      <c r="G553" s="5"/>
      <c r="H553" s="5"/>
      <c r="I553" s="5"/>
      <c r="J553" s="5"/>
      <c r="K553" s="5"/>
    </row>
    <row r="554" spans="3:11" x14ac:dyDescent="0.25">
      <c r="C554" s="5"/>
      <c r="D554" s="5"/>
      <c r="E554" s="5"/>
      <c r="F554" s="5"/>
      <c r="G554" s="5"/>
      <c r="H554" s="5"/>
      <c r="I554" s="5"/>
      <c r="J554" s="5"/>
      <c r="K554" s="5"/>
    </row>
    <row r="555" spans="3:11" x14ac:dyDescent="0.25">
      <c r="C555" s="5"/>
      <c r="D555" s="5"/>
      <c r="E555" s="5"/>
      <c r="F555" s="5"/>
      <c r="G555" s="5"/>
      <c r="H555" s="5"/>
      <c r="I555" s="5"/>
      <c r="J555" s="5"/>
      <c r="K555" s="5"/>
    </row>
    <row r="556" spans="3:11" x14ac:dyDescent="0.25">
      <c r="C556" s="5"/>
      <c r="D556" s="5"/>
      <c r="E556" s="5"/>
      <c r="F556" s="5"/>
      <c r="G556" s="5"/>
      <c r="H556" s="5"/>
      <c r="I556" s="5"/>
      <c r="J556" s="5"/>
      <c r="K556" s="5"/>
    </row>
    <row r="557" spans="3:11" x14ac:dyDescent="0.25">
      <c r="C557" s="5"/>
      <c r="D557" s="5"/>
      <c r="E557" s="5"/>
      <c r="F557" s="5"/>
      <c r="G557" s="5"/>
      <c r="H557" s="5"/>
      <c r="I557" s="5"/>
      <c r="J557" s="5"/>
      <c r="K557" s="5"/>
    </row>
    <row r="558" spans="3:11" x14ac:dyDescent="0.25">
      <c r="C558" s="5"/>
      <c r="D558" s="5"/>
      <c r="E558" s="5"/>
      <c r="F558" s="5"/>
      <c r="G558" s="5"/>
      <c r="H558" s="5"/>
      <c r="I558" s="5"/>
      <c r="J558" s="5"/>
      <c r="K558" s="5"/>
    </row>
    <row r="559" spans="3:11" x14ac:dyDescent="0.25">
      <c r="C559" s="5"/>
      <c r="D559" s="5"/>
      <c r="E559" s="5"/>
      <c r="F559" s="5"/>
      <c r="G559" s="5"/>
      <c r="H559" s="5"/>
      <c r="I559" s="5"/>
      <c r="J559" s="5"/>
      <c r="K559" s="5"/>
    </row>
    <row r="560" spans="3:11" x14ac:dyDescent="0.25">
      <c r="C560" s="5"/>
      <c r="D560" s="5"/>
      <c r="E560" s="5"/>
      <c r="F560" s="5"/>
      <c r="G560" s="5"/>
      <c r="H560" s="5"/>
      <c r="I560" s="5"/>
      <c r="J560" s="5"/>
      <c r="K560" s="5"/>
    </row>
    <row r="561" spans="3:11" x14ac:dyDescent="0.25">
      <c r="C561" s="5"/>
      <c r="D561" s="5"/>
      <c r="E561" s="5"/>
      <c r="F561" s="5"/>
      <c r="G561" s="5"/>
      <c r="H561" s="5"/>
      <c r="I561" s="5"/>
      <c r="J561" s="5"/>
      <c r="K561" s="5"/>
    </row>
    <row r="562" spans="3:11" x14ac:dyDescent="0.25">
      <c r="C562" s="5"/>
      <c r="D562" s="5"/>
      <c r="E562" s="5"/>
      <c r="F562" s="5"/>
      <c r="G562" s="5"/>
      <c r="H562" s="5"/>
      <c r="I562" s="5"/>
      <c r="J562" s="5"/>
      <c r="K562" s="5"/>
    </row>
    <row r="563" spans="3:11" x14ac:dyDescent="0.25">
      <c r="C563" s="5"/>
      <c r="D563" s="5"/>
      <c r="E563" s="5"/>
      <c r="F563" s="5"/>
      <c r="G563" s="5"/>
      <c r="H563" s="5"/>
      <c r="I563" s="5"/>
      <c r="J563" s="5"/>
      <c r="K563" s="5"/>
    </row>
    <row r="564" spans="3:11" x14ac:dyDescent="0.25">
      <c r="C564" s="5"/>
      <c r="D564" s="5"/>
      <c r="E564" s="5"/>
      <c r="F564" s="5"/>
      <c r="G564" s="5"/>
      <c r="H564" s="5"/>
      <c r="I564" s="5"/>
      <c r="J564" s="5"/>
      <c r="K564" s="5"/>
    </row>
    <row r="565" spans="3:11" x14ac:dyDescent="0.25">
      <c r="C565" s="5"/>
      <c r="D565" s="5"/>
      <c r="E565" s="5"/>
      <c r="F565" s="5"/>
      <c r="G565" s="5"/>
      <c r="H565" s="5"/>
      <c r="I565" s="5"/>
      <c r="J565" s="5"/>
      <c r="K565" s="5"/>
    </row>
    <row r="566" spans="3:11" x14ac:dyDescent="0.25">
      <c r="C566" s="5"/>
      <c r="D566" s="5"/>
      <c r="E566" s="5"/>
      <c r="F566" s="5"/>
      <c r="G566" s="5"/>
      <c r="H566" s="5"/>
      <c r="I566" s="5"/>
      <c r="J566" s="5"/>
      <c r="K566" s="5"/>
    </row>
    <row r="567" spans="3:11" x14ac:dyDescent="0.25">
      <c r="C567" s="5"/>
      <c r="D567" s="5"/>
      <c r="E567" s="5"/>
      <c r="F567" s="5"/>
      <c r="G567" s="5"/>
      <c r="H567" s="5"/>
      <c r="I567" s="5"/>
      <c r="J567" s="5"/>
      <c r="K567" s="5"/>
    </row>
    <row r="568" spans="3:11" x14ac:dyDescent="0.25">
      <c r="C568" s="5"/>
      <c r="D568" s="5"/>
      <c r="E568" s="5"/>
      <c r="F568" s="5"/>
      <c r="G568" s="5"/>
      <c r="H568" s="5"/>
      <c r="I568" s="5"/>
      <c r="J568" s="5"/>
      <c r="K568" s="5"/>
    </row>
    <row r="569" spans="3:11" x14ac:dyDescent="0.25">
      <c r="C569" s="5"/>
      <c r="D569" s="5"/>
      <c r="E569" s="5"/>
      <c r="F569" s="5"/>
      <c r="G569" s="5"/>
      <c r="H569" s="5"/>
      <c r="I569" s="5"/>
      <c r="J569" s="5"/>
      <c r="K569" s="5"/>
    </row>
    <row r="570" spans="3:11" x14ac:dyDescent="0.25">
      <c r="C570" s="5"/>
      <c r="D570" s="5"/>
      <c r="E570" s="5"/>
      <c r="F570" s="5"/>
      <c r="G570" s="5"/>
      <c r="H570" s="5"/>
      <c r="I570" s="5"/>
      <c r="J570" s="5"/>
      <c r="K570" s="5"/>
    </row>
    <row r="571" spans="3:11" x14ac:dyDescent="0.25">
      <c r="C571" s="5"/>
      <c r="D571" s="5"/>
      <c r="E571" s="5"/>
      <c r="F571" s="5"/>
      <c r="G571" s="5"/>
      <c r="H571" s="5"/>
      <c r="I571" s="5"/>
      <c r="J571" s="5"/>
      <c r="K571" s="5"/>
    </row>
    <row r="572" spans="3:11" x14ac:dyDescent="0.25">
      <c r="C572" s="5"/>
      <c r="D572" s="5"/>
      <c r="E572" s="5"/>
      <c r="F572" s="5"/>
      <c r="G572" s="5"/>
      <c r="H572" s="5"/>
      <c r="I572" s="5"/>
      <c r="J572" s="5"/>
      <c r="K572" s="5"/>
    </row>
    <row r="573" spans="3:11" x14ac:dyDescent="0.25">
      <c r="C573" s="5"/>
      <c r="D573" s="5"/>
      <c r="E573" s="5"/>
      <c r="F573" s="5"/>
      <c r="G573" s="5"/>
      <c r="H573" s="5"/>
      <c r="I573" s="5"/>
      <c r="J573" s="5"/>
      <c r="K573" s="5"/>
    </row>
    <row r="574" spans="3:11" x14ac:dyDescent="0.25">
      <c r="C574" s="5"/>
      <c r="D574" s="5"/>
      <c r="E574" s="5"/>
      <c r="F574" s="5"/>
      <c r="G574" s="5"/>
      <c r="H574" s="5"/>
      <c r="I574" s="5"/>
      <c r="J574" s="5"/>
      <c r="K574" s="5"/>
    </row>
    <row r="575" spans="3:11" x14ac:dyDescent="0.25">
      <c r="C575" s="5"/>
      <c r="D575" s="5"/>
      <c r="E575" s="5"/>
      <c r="F575" s="5"/>
      <c r="G575" s="5"/>
      <c r="H575" s="5"/>
      <c r="I575" s="5"/>
      <c r="J575" s="5"/>
      <c r="K575" s="5"/>
    </row>
    <row r="576" spans="3:11" x14ac:dyDescent="0.25">
      <c r="C576" s="5"/>
      <c r="D576" s="5"/>
      <c r="E576" s="5"/>
      <c r="F576" s="5"/>
      <c r="G576" s="5"/>
      <c r="H576" s="5"/>
      <c r="I576" s="5"/>
      <c r="J576" s="5"/>
      <c r="K576" s="5"/>
    </row>
    <row r="577" spans="3:11" x14ac:dyDescent="0.25">
      <c r="C577" s="5"/>
      <c r="D577" s="5"/>
      <c r="E577" s="5"/>
      <c r="F577" s="5"/>
      <c r="G577" s="5"/>
      <c r="H577" s="5"/>
      <c r="I577" s="5"/>
      <c r="J577" s="5"/>
      <c r="K577" s="5"/>
    </row>
    <row r="578" spans="3:11" x14ac:dyDescent="0.25">
      <c r="C578" s="5"/>
      <c r="D578" s="5"/>
      <c r="E578" s="5"/>
      <c r="F578" s="5"/>
      <c r="G578" s="5"/>
      <c r="H578" s="5"/>
      <c r="I578" s="5"/>
      <c r="J578" s="5"/>
      <c r="K578" s="5"/>
    </row>
    <row r="579" spans="3:11" x14ac:dyDescent="0.25">
      <c r="C579" s="5"/>
      <c r="D579" s="5"/>
      <c r="E579" s="5"/>
      <c r="F579" s="5"/>
      <c r="G579" s="5"/>
      <c r="H579" s="5"/>
      <c r="I579" s="5"/>
      <c r="J579" s="5"/>
      <c r="K579" s="5"/>
    </row>
    <row r="580" spans="3:11" x14ac:dyDescent="0.25">
      <c r="C580" s="5"/>
      <c r="D580" s="5"/>
      <c r="E580" s="5"/>
      <c r="F580" s="5"/>
      <c r="G580" s="5"/>
      <c r="H580" s="5"/>
      <c r="I580" s="5"/>
      <c r="J580" s="5"/>
      <c r="K580" s="5"/>
    </row>
    <row r="581" spans="3:11" x14ac:dyDescent="0.25">
      <c r="C581" s="5"/>
      <c r="D581" s="5"/>
      <c r="E581" s="5"/>
      <c r="F581" s="5"/>
      <c r="G581" s="5"/>
      <c r="H581" s="5"/>
      <c r="I581" s="5"/>
      <c r="J581" s="5"/>
      <c r="K581" s="5"/>
    </row>
    <row r="582" spans="3:11" x14ac:dyDescent="0.25">
      <c r="C582" s="5"/>
      <c r="D582" s="5"/>
      <c r="E582" s="5"/>
      <c r="F582" s="5"/>
      <c r="G582" s="5"/>
      <c r="H582" s="5"/>
      <c r="I582" s="5"/>
      <c r="J582" s="5"/>
      <c r="K582" s="5"/>
    </row>
    <row r="583" spans="3:11" x14ac:dyDescent="0.25">
      <c r="C583" s="5"/>
      <c r="D583" s="5"/>
      <c r="E583" s="5"/>
      <c r="F583" s="5"/>
      <c r="G583" s="5"/>
      <c r="H583" s="5"/>
      <c r="I583" s="5"/>
      <c r="J583" s="5"/>
      <c r="K583" s="5"/>
    </row>
    <row r="584" spans="3:11" x14ac:dyDescent="0.25">
      <c r="C584" s="5"/>
      <c r="D584" s="5"/>
      <c r="E584" s="5"/>
      <c r="F584" s="5"/>
      <c r="G584" s="5"/>
      <c r="H584" s="5"/>
      <c r="I584" s="5"/>
      <c r="J584" s="5"/>
      <c r="K584" s="5"/>
    </row>
    <row r="585" spans="3:11" x14ac:dyDescent="0.25">
      <c r="C585" s="5"/>
      <c r="D585" s="5"/>
      <c r="E585" s="5"/>
      <c r="F585" s="5"/>
      <c r="G585" s="5"/>
      <c r="H585" s="5"/>
      <c r="I585" s="5"/>
      <c r="J585" s="5"/>
      <c r="K585" s="5"/>
    </row>
    <row r="586" spans="3:11" x14ac:dyDescent="0.25">
      <c r="C586" s="5"/>
      <c r="D586" s="5"/>
      <c r="E586" s="5"/>
      <c r="F586" s="5"/>
      <c r="G586" s="5"/>
      <c r="H586" s="5"/>
      <c r="I586" s="5"/>
      <c r="J586" s="5"/>
      <c r="K586" s="5"/>
    </row>
    <row r="587" spans="3:11" x14ac:dyDescent="0.25">
      <c r="C587" s="5"/>
      <c r="D587" s="5"/>
      <c r="E587" s="5"/>
      <c r="F587" s="5"/>
      <c r="G587" s="5"/>
      <c r="H587" s="5"/>
      <c r="I587" s="5"/>
      <c r="J587" s="5"/>
      <c r="K587" s="5"/>
    </row>
    <row r="588" spans="3:11" x14ac:dyDescent="0.25">
      <c r="C588" s="5"/>
      <c r="D588" s="5"/>
      <c r="E588" s="5"/>
      <c r="F588" s="5"/>
      <c r="G588" s="5"/>
      <c r="H588" s="5"/>
      <c r="I588" s="5"/>
      <c r="J588" s="5"/>
      <c r="K588" s="5"/>
    </row>
    <row r="589" spans="3:11" x14ac:dyDescent="0.25">
      <c r="C589" s="5"/>
      <c r="D589" s="5"/>
      <c r="E589" s="5"/>
      <c r="F589" s="5"/>
      <c r="G589" s="5"/>
      <c r="H589" s="5"/>
      <c r="I589" s="5"/>
      <c r="J589" s="5"/>
      <c r="K589" s="5"/>
    </row>
    <row r="590" spans="3:11" x14ac:dyDescent="0.25">
      <c r="C590" s="5"/>
      <c r="D590" s="5"/>
      <c r="E590" s="5"/>
      <c r="F590" s="5"/>
      <c r="G590" s="5"/>
      <c r="H590" s="5"/>
      <c r="I590" s="5"/>
      <c r="J590" s="5"/>
      <c r="K590" s="5"/>
    </row>
    <row r="591" spans="3:11" x14ac:dyDescent="0.25">
      <c r="C591" s="5"/>
      <c r="D591" s="5"/>
      <c r="E591" s="5"/>
      <c r="F591" s="5"/>
      <c r="G591" s="5"/>
      <c r="H591" s="5"/>
      <c r="I591" s="5"/>
      <c r="J591" s="5"/>
      <c r="K591" s="5"/>
    </row>
    <row r="592" spans="3:11" x14ac:dyDescent="0.25">
      <c r="C592" s="5"/>
      <c r="D592" s="5"/>
      <c r="E592" s="5"/>
      <c r="F592" s="5"/>
      <c r="G592" s="5"/>
      <c r="H592" s="5"/>
      <c r="I592" s="5"/>
      <c r="J592" s="5"/>
      <c r="K592" s="5"/>
    </row>
    <row r="593" spans="3:11" x14ac:dyDescent="0.25">
      <c r="C593" s="5"/>
      <c r="D593" s="5"/>
      <c r="E593" s="5"/>
      <c r="F593" s="5"/>
      <c r="G593" s="5"/>
      <c r="H593" s="5"/>
      <c r="I593" s="5"/>
      <c r="J593" s="5"/>
      <c r="K593" s="5"/>
    </row>
    <row r="594" spans="3:11" x14ac:dyDescent="0.25">
      <c r="C594" s="5"/>
      <c r="D594" s="5"/>
      <c r="E594" s="5"/>
      <c r="F594" s="5"/>
      <c r="G594" s="5"/>
      <c r="H594" s="5"/>
      <c r="I594" s="5"/>
      <c r="J594" s="5"/>
      <c r="K594" s="5"/>
    </row>
    <row r="595" spans="3:11" x14ac:dyDescent="0.25">
      <c r="C595" s="5"/>
      <c r="D595" s="5"/>
      <c r="E595" s="5"/>
      <c r="F595" s="5"/>
      <c r="G595" s="5"/>
      <c r="H595" s="5"/>
      <c r="I595" s="5"/>
      <c r="J595" s="5"/>
      <c r="K595" s="5"/>
    </row>
    <row r="596" spans="3:11" x14ac:dyDescent="0.25">
      <c r="C596" s="5"/>
      <c r="D596" s="5"/>
      <c r="E596" s="5"/>
      <c r="F596" s="5"/>
      <c r="G596" s="5"/>
      <c r="H596" s="5"/>
      <c r="I596" s="5"/>
      <c r="J596" s="5"/>
      <c r="K596" s="5"/>
    </row>
    <row r="597" spans="3:11" x14ac:dyDescent="0.25">
      <c r="C597" s="5"/>
      <c r="D597" s="5"/>
      <c r="E597" s="5"/>
      <c r="F597" s="5"/>
      <c r="G597" s="5"/>
      <c r="H597" s="5"/>
      <c r="I597" s="5"/>
      <c r="J597" s="5"/>
      <c r="K597" s="5"/>
    </row>
    <row r="598" spans="3:11" x14ac:dyDescent="0.25">
      <c r="C598" s="5"/>
      <c r="D598" s="5"/>
      <c r="E598" s="5"/>
      <c r="F598" s="5"/>
      <c r="G598" s="5"/>
      <c r="H598" s="5"/>
      <c r="I598" s="5"/>
      <c r="J598" s="5"/>
      <c r="K598" s="5"/>
    </row>
    <row r="599" spans="3:11" x14ac:dyDescent="0.25">
      <c r="C599" s="5"/>
      <c r="D599" s="5"/>
      <c r="E599" s="5"/>
      <c r="F599" s="5"/>
      <c r="G599" s="5"/>
      <c r="H599" s="5"/>
      <c r="I599" s="5"/>
      <c r="J599" s="5"/>
      <c r="K599" s="5"/>
    </row>
    <row r="600" spans="3:11" x14ac:dyDescent="0.25">
      <c r="C600" s="5"/>
      <c r="D600" s="5"/>
      <c r="E600" s="5"/>
      <c r="F600" s="5"/>
      <c r="G600" s="5"/>
      <c r="H600" s="5"/>
      <c r="I600" s="5"/>
      <c r="J600" s="5"/>
      <c r="K600" s="5"/>
    </row>
    <row r="601" spans="3:11" x14ac:dyDescent="0.25">
      <c r="C601" s="5"/>
      <c r="D601" s="5"/>
      <c r="E601" s="5"/>
      <c r="F601" s="5"/>
      <c r="G601" s="5"/>
      <c r="H601" s="5"/>
      <c r="I601" s="5"/>
      <c r="J601" s="5"/>
      <c r="K601" s="5"/>
    </row>
    <row r="602" spans="3:11" x14ac:dyDescent="0.25">
      <c r="C602" s="5"/>
      <c r="D602" s="5"/>
      <c r="E602" s="5"/>
      <c r="F602" s="5"/>
      <c r="G602" s="5"/>
      <c r="H602" s="5"/>
      <c r="I602" s="5"/>
      <c r="J602" s="5"/>
      <c r="K602" s="5"/>
    </row>
    <row r="603" spans="3:11" x14ac:dyDescent="0.25">
      <c r="C603" s="5"/>
      <c r="D603" s="5"/>
      <c r="E603" s="5"/>
      <c r="F603" s="5"/>
      <c r="G603" s="5"/>
      <c r="H603" s="5"/>
      <c r="I603" s="5"/>
      <c r="J603" s="5"/>
      <c r="K603" s="5"/>
    </row>
    <row r="604" spans="3:11" x14ac:dyDescent="0.25">
      <c r="C604" s="5"/>
      <c r="D604" s="5"/>
      <c r="E604" s="5"/>
      <c r="F604" s="5"/>
      <c r="G604" s="5"/>
      <c r="H604" s="5"/>
      <c r="I604" s="5"/>
      <c r="J604" s="5"/>
      <c r="K604" s="5"/>
    </row>
    <row r="605" spans="3:11" x14ac:dyDescent="0.25">
      <c r="C605" s="5"/>
      <c r="D605" s="5"/>
      <c r="E605" s="5"/>
      <c r="F605" s="5"/>
      <c r="G605" s="5"/>
      <c r="H605" s="5"/>
      <c r="I605" s="5"/>
      <c r="J605" s="5"/>
      <c r="K605" s="5"/>
    </row>
    <row r="606" spans="3:11" x14ac:dyDescent="0.25">
      <c r="C606" s="5"/>
      <c r="D606" s="5"/>
      <c r="E606" s="5"/>
      <c r="F606" s="5"/>
      <c r="G606" s="5"/>
      <c r="H606" s="5"/>
      <c r="I606" s="5"/>
      <c r="J606" s="5"/>
      <c r="K606" s="5"/>
    </row>
    <row r="607" spans="3:11" x14ac:dyDescent="0.25">
      <c r="C607" s="5"/>
      <c r="D607" s="5"/>
      <c r="E607" s="5"/>
      <c r="F607" s="5"/>
      <c r="G607" s="5"/>
      <c r="H607" s="5"/>
      <c r="I607" s="5"/>
      <c r="J607" s="5"/>
      <c r="K607" s="5"/>
    </row>
    <row r="608" spans="3:11" x14ac:dyDescent="0.25">
      <c r="C608" s="5"/>
      <c r="D608" s="5"/>
      <c r="E608" s="5"/>
      <c r="F608" s="5"/>
      <c r="G608" s="5"/>
      <c r="H608" s="5"/>
      <c r="I608" s="5"/>
      <c r="J608" s="5"/>
      <c r="K608" s="5"/>
    </row>
    <row r="609" spans="3:11" x14ac:dyDescent="0.25">
      <c r="C609" s="5"/>
      <c r="D609" s="5"/>
      <c r="E609" s="5"/>
      <c r="F609" s="5"/>
      <c r="G609" s="5"/>
      <c r="H609" s="5"/>
      <c r="I609" s="5"/>
      <c r="J609" s="5"/>
      <c r="K609" s="5"/>
    </row>
    <row r="610" spans="3:11" x14ac:dyDescent="0.25">
      <c r="C610" s="5"/>
      <c r="D610" s="5"/>
      <c r="E610" s="5"/>
      <c r="F610" s="5"/>
      <c r="G610" s="5"/>
      <c r="H610" s="5"/>
      <c r="I610" s="5"/>
      <c r="J610" s="5"/>
      <c r="K610" s="5"/>
    </row>
    <row r="611" spans="3:11" x14ac:dyDescent="0.25">
      <c r="C611" s="5"/>
      <c r="D611" s="5"/>
      <c r="E611" s="5"/>
      <c r="F611" s="5"/>
      <c r="G611" s="5"/>
      <c r="H611" s="5"/>
      <c r="I611" s="5"/>
      <c r="J611" s="5"/>
      <c r="K611" s="5"/>
    </row>
    <row r="612" spans="3:11" x14ac:dyDescent="0.25">
      <c r="C612" s="5"/>
      <c r="D612" s="5"/>
      <c r="E612" s="5"/>
      <c r="F612" s="5"/>
      <c r="G612" s="5"/>
      <c r="H612" s="5"/>
      <c r="I612" s="5"/>
      <c r="J612" s="5"/>
      <c r="K612" s="5"/>
    </row>
    <row r="613" spans="3:11" x14ac:dyDescent="0.25">
      <c r="C613" s="5"/>
      <c r="D613" s="5"/>
      <c r="E613" s="5"/>
      <c r="F613" s="5"/>
      <c r="G613" s="5"/>
      <c r="H613" s="5"/>
      <c r="I613" s="5"/>
      <c r="J613" s="5"/>
      <c r="K613" s="5"/>
    </row>
    <row r="614" spans="3:11" x14ac:dyDescent="0.25">
      <c r="C614" s="5"/>
      <c r="D614" s="5"/>
      <c r="E614" s="5"/>
      <c r="F614" s="5"/>
      <c r="G614" s="5"/>
      <c r="H614" s="5"/>
      <c r="I614" s="5"/>
      <c r="J614" s="5"/>
      <c r="K614" s="5"/>
    </row>
    <row r="615" spans="3:11" x14ac:dyDescent="0.25">
      <c r="C615" s="5"/>
      <c r="D615" s="5"/>
      <c r="E615" s="5"/>
      <c r="F615" s="5"/>
      <c r="G615" s="5"/>
      <c r="H615" s="5"/>
      <c r="I615" s="5"/>
      <c r="J615" s="5"/>
      <c r="K615" s="5"/>
    </row>
    <row r="616" spans="3:11" x14ac:dyDescent="0.25">
      <c r="C616" s="5"/>
      <c r="D616" s="5"/>
      <c r="E616" s="5"/>
      <c r="F616" s="5"/>
      <c r="G616" s="5"/>
      <c r="H616" s="5"/>
      <c r="I616" s="5"/>
      <c r="J616" s="5"/>
      <c r="K616" s="5"/>
    </row>
    <row r="617" spans="3:11" x14ac:dyDescent="0.25">
      <c r="C617" s="5"/>
      <c r="D617" s="5"/>
      <c r="E617" s="5"/>
      <c r="F617" s="5"/>
      <c r="G617" s="5"/>
      <c r="H617" s="5"/>
      <c r="I617" s="5"/>
      <c r="J617" s="5"/>
      <c r="K617" s="5"/>
    </row>
    <row r="618" spans="3:11" x14ac:dyDescent="0.25">
      <c r="C618" s="5"/>
      <c r="D618" s="5"/>
      <c r="E618" s="5"/>
      <c r="F618" s="5"/>
      <c r="G618" s="5"/>
      <c r="H618" s="5"/>
      <c r="I618" s="5"/>
      <c r="J618" s="5"/>
      <c r="K618" s="5"/>
    </row>
    <row r="619" spans="3:11" x14ac:dyDescent="0.25">
      <c r="C619" s="5"/>
      <c r="D619" s="5"/>
      <c r="E619" s="5"/>
      <c r="F619" s="5"/>
      <c r="G619" s="5"/>
      <c r="H619" s="5"/>
      <c r="I619" s="5"/>
      <c r="J619" s="5"/>
      <c r="K619" s="5"/>
    </row>
    <row r="620" spans="3:11" x14ac:dyDescent="0.25">
      <c r="C620" s="5"/>
      <c r="D620" s="5"/>
      <c r="E620" s="5"/>
      <c r="F620" s="5"/>
      <c r="G620" s="5"/>
      <c r="H620" s="5"/>
      <c r="I620" s="5"/>
      <c r="J620" s="5"/>
      <c r="K620" s="5"/>
    </row>
    <row r="621" spans="3:11" x14ac:dyDescent="0.25">
      <c r="C621" s="5"/>
      <c r="D621" s="5"/>
      <c r="E621" s="5"/>
      <c r="F621" s="5"/>
      <c r="G621" s="5"/>
      <c r="H621" s="5"/>
      <c r="I621" s="5"/>
      <c r="J621" s="5"/>
      <c r="K621" s="5"/>
    </row>
    <row r="622" spans="3:11" x14ac:dyDescent="0.25">
      <c r="C622" s="5"/>
      <c r="D622" s="5"/>
      <c r="E622" s="5"/>
      <c r="F622" s="5"/>
      <c r="G622" s="5"/>
      <c r="H622" s="5"/>
      <c r="I622" s="5"/>
      <c r="J622" s="5"/>
      <c r="K622" s="5"/>
    </row>
    <row r="623" spans="3:11" x14ac:dyDescent="0.25">
      <c r="C623" s="5"/>
      <c r="D623" s="5"/>
      <c r="E623" s="5"/>
      <c r="F623" s="5"/>
      <c r="G623" s="5"/>
      <c r="H623" s="5"/>
      <c r="I623" s="5"/>
      <c r="J623" s="5"/>
      <c r="K623" s="5"/>
    </row>
    <row r="624" spans="3:11" x14ac:dyDescent="0.25">
      <c r="C624" s="5"/>
      <c r="D624" s="5"/>
      <c r="E624" s="5"/>
      <c r="F624" s="5"/>
      <c r="G624" s="5"/>
      <c r="H624" s="5"/>
      <c r="I624" s="5"/>
      <c r="J624" s="5"/>
      <c r="K624" s="5"/>
    </row>
    <row r="625" spans="3:11" x14ac:dyDescent="0.25">
      <c r="C625" s="5"/>
      <c r="D625" s="5"/>
      <c r="E625" s="5"/>
      <c r="F625" s="5"/>
      <c r="G625" s="5"/>
      <c r="H625" s="5"/>
      <c r="I625" s="5"/>
      <c r="J625" s="5"/>
      <c r="K625" s="5"/>
    </row>
    <row r="626" spans="3:11" x14ac:dyDescent="0.25">
      <c r="C626" s="5"/>
      <c r="D626" s="5"/>
      <c r="E626" s="5"/>
      <c r="F626" s="5"/>
      <c r="G626" s="5"/>
      <c r="H626" s="5"/>
      <c r="I626" s="5"/>
      <c r="J626" s="5"/>
      <c r="K626" s="5"/>
    </row>
    <row r="627" spans="3:11" x14ac:dyDescent="0.25">
      <c r="C627" s="5"/>
      <c r="D627" s="5"/>
      <c r="E627" s="5"/>
      <c r="F627" s="5"/>
      <c r="G627" s="5"/>
      <c r="H627" s="5"/>
      <c r="I627" s="5"/>
      <c r="J627" s="5"/>
      <c r="K627" s="5"/>
    </row>
    <row r="628" spans="3:11" x14ac:dyDescent="0.25">
      <c r="C628" s="5"/>
      <c r="D628" s="5"/>
      <c r="E628" s="5"/>
      <c r="F628" s="5"/>
      <c r="G628" s="5"/>
      <c r="H628" s="5"/>
      <c r="I628" s="5"/>
      <c r="J628" s="5"/>
      <c r="K628" s="5"/>
    </row>
    <row r="629" spans="3:11" x14ac:dyDescent="0.25">
      <c r="C629" s="5"/>
      <c r="D629" s="5"/>
      <c r="E629" s="5"/>
      <c r="F629" s="5"/>
      <c r="G629" s="5"/>
      <c r="H629" s="5"/>
      <c r="I629" s="5"/>
      <c r="J629" s="5"/>
      <c r="K629" s="5"/>
    </row>
    <row r="630" spans="3:11" x14ac:dyDescent="0.25">
      <c r="C630" s="5"/>
      <c r="D630" s="5"/>
      <c r="E630" s="5"/>
      <c r="F630" s="5"/>
      <c r="G630" s="5"/>
      <c r="H630" s="5"/>
      <c r="I630" s="5"/>
      <c r="J630" s="5"/>
      <c r="K630" s="5"/>
    </row>
    <row r="631" spans="3:11" x14ac:dyDescent="0.25">
      <c r="C631" s="5"/>
      <c r="D631" s="5"/>
      <c r="E631" s="5"/>
      <c r="F631" s="5"/>
      <c r="G631" s="5"/>
      <c r="H631" s="5"/>
      <c r="I631" s="5"/>
      <c r="J631" s="5"/>
      <c r="K631" s="5"/>
    </row>
    <row r="632" spans="3:11" x14ac:dyDescent="0.25">
      <c r="C632" s="5"/>
      <c r="D632" s="5"/>
      <c r="E632" s="5"/>
      <c r="F632" s="5"/>
      <c r="G632" s="5"/>
      <c r="H632" s="5"/>
      <c r="I632" s="5"/>
      <c r="J632" s="5"/>
      <c r="K632" s="5"/>
    </row>
    <row r="633" spans="3:11" x14ac:dyDescent="0.25">
      <c r="C633" s="5"/>
      <c r="D633" s="5"/>
      <c r="E633" s="5"/>
      <c r="F633" s="5"/>
      <c r="G633" s="5"/>
      <c r="H633" s="5"/>
      <c r="I633" s="5"/>
      <c r="J633" s="5"/>
      <c r="K633" s="5"/>
    </row>
    <row r="634" spans="3:11" x14ac:dyDescent="0.25">
      <c r="C634" s="5"/>
      <c r="D634" s="5"/>
      <c r="E634" s="5"/>
      <c r="F634" s="5"/>
      <c r="G634" s="5"/>
      <c r="H634" s="5"/>
      <c r="I634" s="5"/>
      <c r="J634" s="5"/>
      <c r="K634" s="5"/>
    </row>
    <row r="635" spans="3:11" x14ac:dyDescent="0.25">
      <c r="C635" s="5"/>
      <c r="D635" s="5"/>
      <c r="E635" s="5"/>
      <c r="F635" s="5"/>
      <c r="G635" s="5"/>
      <c r="H635" s="5"/>
      <c r="I635" s="5"/>
      <c r="J635" s="5"/>
      <c r="K635" s="5"/>
    </row>
    <row r="636" spans="3:11" x14ac:dyDescent="0.25">
      <c r="C636" s="5"/>
      <c r="D636" s="5"/>
      <c r="E636" s="5"/>
      <c r="F636" s="5"/>
      <c r="G636" s="5"/>
      <c r="H636" s="5"/>
      <c r="I636" s="5"/>
      <c r="J636" s="5"/>
      <c r="K636" s="5"/>
    </row>
    <row r="637" spans="3:11" x14ac:dyDescent="0.25">
      <c r="C637" s="5"/>
      <c r="D637" s="5"/>
      <c r="E637" s="5"/>
      <c r="F637" s="5"/>
      <c r="G637" s="5"/>
      <c r="H637" s="5"/>
      <c r="I637" s="5"/>
      <c r="J637" s="5"/>
      <c r="K637" s="5"/>
    </row>
    <row r="638" spans="3:11" x14ac:dyDescent="0.25">
      <c r="C638" s="5"/>
      <c r="D638" s="5"/>
      <c r="E638" s="5"/>
      <c r="F638" s="5"/>
      <c r="G638" s="5"/>
      <c r="H638" s="5"/>
      <c r="I638" s="5"/>
      <c r="J638" s="5"/>
      <c r="K638" s="5"/>
    </row>
    <row r="639" spans="3:11" x14ac:dyDescent="0.25">
      <c r="C639" s="5"/>
      <c r="D639" s="5"/>
      <c r="E639" s="5"/>
      <c r="F639" s="5"/>
      <c r="G639" s="5"/>
      <c r="H639" s="5"/>
      <c r="I639" s="5"/>
      <c r="J639" s="5"/>
      <c r="K639" s="5"/>
    </row>
    <row r="640" spans="3:11" x14ac:dyDescent="0.25">
      <c r="C640" s="5"/>
      <c r="D640" s="5"/>
      <c r="E640" s="5"/>
      <c r="F640" s="5"/>
      <c r="G640" s="5"/>
      <c r="H640" s="5"/>
      <c r="I640" s="5"/>
      <c r="J640" s="5"/>
      <c r="K640" s="5"/>
    </row>
    <row r="641" spans="3:11" x14ac:dyDescent="0.25">
      <c r="C641" s="5"/>
      <c r="D641" s="5"/>
      <c r="E641" s="5"/>
      <c r="F641" s="5"/>
      <c r="G641" s="5"/>
      <c r="H641" s="5"/>
      <c r="I641" s="5"/>
      <c r="J641" s="5"/>
      <c r="K641" s="5"/>
    </row>
    <row r="642" spans="3:11" x14ac:dyDescent="0.25">
      <c r="C642" s="5"/>
      <c r="D642" s="5"/>
      <c r="E642" s="5"/>
      <c r="F642" s="5"/>
      <c r="G642" s="5"/>
      <c r="H642" s="5"/>
      <c r="I642" s="5"/>
      <c r="J642" s="5"/>
      <c r="K642" s="5"/>
    </row>
    <row r="643" spans="3:11" x14ac:dyDescent="0.25">
      <c r="C643" s="5"/>
      <c r="D643" s="5"/>
      <c r="E643" s="5"/>
      <c r="F643" s="5"/>
      <c r="G643" s="5"/>
      <c r="H643" s="5"/>
      <c r="I643" s="5"/>
      <c r="J643" s="5"/>
      <c r="K643" s="5"/>
    </row>
    <row r="644" spans="3:11" x14ac:dyDescent="0.25">
      <c r="C644" s="5"/>
      <c r="D644" s="5"/>
      <c r="E644" s="5"/>
      <c r="F644" s="5"/>
      <c r="G644" s="5"/>
      <c r="H644" s="5"/>
      <c r="I644" s="5"/>
      <c r="J644" s="5"/>
      <c r="K644" s="5"/>
    </row>
    <row r="645" spans="3:11" x14ac:dyDescent="0.25">
      <c r="C645" s="5"/>
      <c r="D645" s="5"/>
      <c r="E645" s="5"/>
      <c r="F645" s="5"/>
      <c r="G645" s="5"/>
      <c r="H645" s="5"/>
      <c r="I645" s="5"/>
      <c r="J645" s="5"/>
      <c r="K645" s="5"/>
    </row>
    <row r="646" spans="3:11" x14ac:dyDescent="0.25">
      <c r="C646" s="5"/>
      <c r="D646" s="5"/>
      <c r="E646" s="5"/>
      <c r="F646" s="5"/>
      <c r="G646" s="5"/>
      <c r="H646" s="5"/>
      <c r="I646" s="5"/>
      <c r="J646" s="5"/>
      <c r="K646" s="5"/>
    </row>
    <row r="647" spans="3:11" x14ac:dyDescent="0.25">
      <c r="C647" s="5"/>
      <c r="D647" s="5"/>
      <c r="E647" s="5"/>
      <c r="F647" s="5"/>
      <c r="G647" s="5"/>
      <c r="H647" s="5"/>
      <c r="I647" s="5"/>
      <c r="J647" s="5"/>
      <c r="K647" s="5"/>
    </row>
    <row r="648" spans="3:11" x14ac:dyDescent="0.25">
      <c r="C648" s="5"/>
      <c r="D648" s="5"/>
      <c r="E648" s="5"/>
      <c r="F648" s="5"/>
      <c r="G648" s="5"/>
      <c r="H648" s="5"/>
      <c r="I648" s="5"/>
      <c r="J648" s="5"/>
      <c r="K648" s="5"/>
    </row>
    <row r="649" spans="3:11" x14ac:dyDescent="0.25">
      <c r="C649" s="5"/>
      <c r="D649" s="5"/>
      <c r="E649" s="5"/>
      <c r="F649" s="5"/>
      <c r="G649" s="5"/>
      <c r="H649" s="5"/>
      <c r="I649" s="5"/>
      <c r="J649" s="5"/>
      <c r="K649" s="5"/>
    </row>
    <row r="650" spans="3:11" x14ac:dyDescent="0.25">
      <c r="C650" s="5"/>
      <c r="D650" s="5"/>
      <c r="E650" s="5"/>
      <c r="F650" s="5"/>
      <c r="G650" s="5"/>
      <c r="H650" s="5"/>
      <c r="I650" s="5"/>
      <c r="J650" s="5"/>
      <c r="K650" s="5"/>
    </row>
    <row r="651" spans="3:11" x14ac:dyDescent="0.25">
      <c r="C651" s="5"/>
      <c r="D651" s="5"/>
      <c r="E651" s="5"/>
      <c r="F651" s="5"/>
      <c r="G651" s="5"/>
      <c r="H651" s="5"/>
      <c r="I651" s="5"/>
      <c r="J651" s="5"/>
      <c r="K651" s="5"/>
    </row>
    <row r="652" spans="3:11" x14ac:dyDescent="0.25">
      <c r="C652" s="5"/>
      <c r="D652" s="5"/>
      <c r="E652" s="5"/>
      <c r="F652" s="5"/>
      <c r="G652" s="5"/>
      <c r="H652" s="5"/>
      <c r="I652" s="5"/>
      <c r="J652" s="5"/>
      <c r="K652" s="5"/>
    </row>
    <row r="653" spans="3:11" x14ac:dyDescent="0.25">
      <c r="C653" s="5"/>
      <c r="D653" s="5"/>
      <c r="E653" s="5"/>
      <c r="F653" s="5"/>
      <c r="G653" s="5"/>
      <c r="H653" s="5"/>
      <c r="I653" s="5"/>
      <c r="J653" s="5"/>
      <c r="K653" s="5"/>
    </row>
    <row r="654" spans="3:11" x14ac:dyDescent="0.25">
      <c r="C654" s="5"/>
      <c r="D654" s="5"/>
      <c r="E654" s="5"/>
      <c r="F654" s="5"/>
      <c r="G654" s="5"/>
      <c r="H654" s="5"/>
      <c r="I654" s="5"/>
      <c r="J654" s="5"/>
      <c r="K654" s="5"/>
    </row>
    <row r="655" spans="3:11" x14ac:dyDescent="0.25">
      <c r="C655" s="5"/>
      <c r="D655" s="5"/>
      <c r="E655" s="5"/>
      <c r="F655" s="5"/>
      <c r="G655" s="5"/>
      <c r="H655" s="5"/>
      <c r="I655" s="5"/>
      <c r="J655" s="5"/>
      <c r="K655" s="5"/>
    </row>
    <row r="656" spans="3:11" x14ac:dyDescent="0.25">
      <c r="C656" s="5"/>
      <c r="D656" s="5"/>
      <c r="E656" s="5"/>
      <c r="F656" s="5"/>
      <c r="G656" s="5"/>
      <c r="H656" s="5"/>
      <c r="I656" s="5"/>
      <c r="J656" s="5"/>
      <c r="K656" s="5"/>
    </row>
    <row r="657" spans="3:11" x14ac:dyDescent="0.25">
      <c r="C657" s="5"/>
      <c r="D657" s="5"/>
      <c r="E657" s="5"/>
      <c r="F657" s="5"/>
      <c r="G657" s="5"/>
      <c r="H657" s="5"/>
      <c r="I657" s="5"/>
      <c r="J657" s="5"/>
      <c r="K657" s="5"/>
    </row>
    <row r="658" spans="3:11" x14ac:dyDescent="0.25">
      <c r="C658" s="5"/>
      <c r="D658" s="5"/>
      <c r="E658" s="5"/>
      <c r="F658" s="5"/>
      <c r="G658" s="5"/>
      <c r="H658" s="5"/>
      <c r="I658" s="5"/>
      <c r="J658" s="5"/>
      <c r="K658" s="5"/>
    </row>
    <row r="659" spans="3:11" x14ac:dyDescent="0.25">
      <c r="C659" s="5"/>
      <c r="D659" s="5"/>
      <c r="E659" s="5"/>
      <c r="F659" s="5"/>
      <c r="G659" s="5"/>
      <c r="H659" s="5"/>
      <c r="I659" s="5"/>
      <c r="J659" s="5"/>
      <c r="K659" s="5"/>
    </row>
    <row r="660" spans="3:11" x14ac:dyDescent="0.25">
      <c r="C660" s="5"/>
      <c r="D660" s="5"/>
      <c r="E660" s="5"/>
      <c r="F660" s="5"/>
      <c r="G660" s="5"/>
      <c r="H660" s="5"/>
      <c r="I660" s="5"/>
      <c r="J660" s="5"/>
      <c r="K660" s="5"/>
    </row>
    <row r="661" spans="3:11" x14ac:dyDescent="0.25">
      <c r="C661" s="5"/>
      <c r="D661" s="5"/>
      <c r="E661" s="5"/>
      <c r="F661" s="5"/>
      <c r="G661" s="5"/>
      <c r="H661" s="5"/>
      <c r="I661" s="5"/>
      <c r="J661" s="5"/>
      <c r="K661" s="5"/>
    </row>
    <row r="662" spans="3:11" x14ac:dyDescent="0.25">
      <c r="C662" s="5"/>
      <c r="D662" s="5"/>
      <c r="E662" s="5"/>
      <c r="F662" s="5"/>
      <c r="G662" s="5"/>
      <c r="H662" s="5"/>
      <c r="I662" s="5"/>
      <c r="J662" s="5"/>
      <c r="K662" s="5"/>
    </row>
    <row r="663" spans="3:11" x14ac:dyDescent="0.25">
      <c r="C663" s="5"/>
      <c r="D663" s="5"/>
      <c r="E663" s="5"/>
      <c r="F663" s="5"/>
      <c r="G663" s="5"/>
      <c r="H663" s="5"/>
      <c r="I663" s="5"/>
      <c r="J663" s="5"/>
      <c r="K663" s="5"/>
    </row>
    <row r="664" spans="3:11" x14ac:dyDescent="0.25">
      <c r="C664" s="5"/>
      <c r="D664" s="5"/>
      <c r="E664" s="5"/>
      <c r="F664" s="5"/>
      <c r="G664" s="5"/>
      <c r="H664" s="5"/>
      <c r="I664" s="5"/>
      <c r="J664" s="5"/>
      <c r="K664" s="5"/>
    </row>
    <row r="665" spans="3:11" x14ac:dyDescent="0.25">
      <c r="C665" s="5"/>
      <c r="D665" s="5"/>
      <c r="E665" s="5"/>
      <c r="F665" s="5"/>
      <c r="G665" s="5"/>
      <c r="H665" s="5"/>
      <c r="I665" s="5"/>
      <c r="J665" s="5"/>
      <c r="K665" s="5"/>
    </row>
    <row r="666" spans="3:11" x14ac:dyDescent="0.25">
      <c r="C666" s="5"/>
      <c r="D666" s="5"/>
      <c r="E666" s="5"/>
      <c r="F666" s="5"/>
      <c r="G666" s="5"/>
      <c r="H666" s="5"/>
      <c r="I666" s="5"/>
      <c r="J666" s="5"/>
      <c r="K666" s="5"/>
    </row>
    <row r="667" spans="3:11" x14ac:dyDescent="0.25">
      <c r="C667" s="5"/>
      <c r="D667" s="5"/>
      <c r="E667" s="5"/>
      <c r="F667" s="5"/>
      <c r="G667" s="5"/>
      <c r="H667" s="5"/>
      <c r="I667" s="5"/>
      <c r="J667" s="5"/>
      <c r="K667" s="5"/>
    </row>
    <row r="668" spans="3:11" x14ac:dyDescent="0.25">
      <c r="C668" s="5"/>
      <c r="D668" s="5"/>
      <c r="E668" s="5"/>
      <c r="F668" s="5"/>
      <c r="G668" s="5"/>
      <c r="H668" s="5"/>
      <c r="I668" s="5"/>
      <c r="J668" s="5"/>
      <c r="K668" s="5"/>
    </row>
    <row r="669" spans="3:11" x14ac:dyDescent="0.25">
      <c r="C669" s="5"/>
      <c r="D669" s="5"/>
      <c r="E669" s="5"/>
      <c r="F669" s="5"/>
      <c r="G669" s="5"/>
      <c r="H669" s="5"/>
      <c r="I669" s="5"/>
      <c r="J669" s="5"/>
      <c r="K669" s="5"/>
    </row>
    <row r="670" spans="3:11" x14ac:dyDescent="0.25">
      <c r="C670" s="5"/>
      <c r="D670" s="5"/>
      <c r="E670" s="5"/>
      <c r="F670" s="5"/>
      <c r="G670" s="5"/>
      <c r="H670" s="5"/>
      <c r="I670" s="5"/>
      <c r="J670" s="5"/>
      <c r="K670" s="5"/>
    </row>
    <row r="671" spans="3:11" x14ac:dyDescent="0.25">
      <c r="C671" s="5"/>
      <c r="D671" s="5"/>
      <c r="E671" s="5"/>
      <c r="F671" s="5"/>
      <c r="G671" s="5"/>
      <c r="H671" s="5"/>
      <c r="I671" s="5"/>
      <c r="J671" s="5"/>
      <c r="K671" s="5"/>
    </row>
    <row r="672" spans="3:11" x14ac:dyDescent="0.25">
      <c r="C672" s="5"/>
      <c r="D672" s="5"/>
      <c r="E672" s="5"/>
      <c r="F672" s="5"/>
      <c r="G672" s="5"/>
      <c r="H672" s="5"/>
      <c r="I672" s="5"/>
      <c r="J672" s="5"/>
      <c r="K672" s="5"/>
    </row>
    <row r="673" spans="3:11" x14ac:dyDescent="0.25">
      <c r="C673" s="5"/>
      <c r="D673" s="5"/>
      <c r="E673" s="5"/>
      <c r="F673" s="5"/>
      <c r="G673" s="5"/>
      <c r="H673" s="5"/>
      <c r="I673" s="5"/>
      <c r="J673" s="5"/>
      <c r="K673" s="5"/>
    </row>
    <row r="674" spans="3:11" x14ac:dyDescent="0.25">
      <c r="C674" s="5"/>
      <c r="D674" s="5"/>
      <c r="E674" s="5"/>
      <c r="F674" s="5"/>
      <c r="G674" s="5"/>
      <c r="H674" s="5"/>
      <c r="I674" s="5"/>
      <c r="J674" s="5"/>
      <c r="K674" s="5"/>
    </row>
    <row r="675" spans="3:11" x14ac:dyDescent="0.25">
      <c r="C675" s="5"/>
      <c r="D675" s="5"/>
      <c r="E675" s="5"/>
      <c r="F675" s="5"/>
      <c r="G675" s="5"/>
      <c r="H675" s="5"/>
      <c r="I675" s="5"/>
      <c r="J675" s="5"/>
      <c r="K675" s="5"/>
    </row>
    <row r="676" spans="3:11" x14ac:dyDescent="0.25">
      <c r="C676" s="5"/>
      <c r="D676" s="5"/>
      <c r="E676" s="5"/>
      <c r="F676" s="5"/>
      <c r="G676" s="5"/>
      <c r="H676" s="5"/>
      <c r="I676" s="5"/>
      <c r="J676" s="5"/>
      <c r="K676" s="5"/>
    </row>
    <row r="677" spans="3:11" x14ac:dyDescent="0.25">
      <c r="C677" s="5"/>
      <c r="D677" s="5"/>
      <c r="E677" s="5"/>
      <c r="F677" s="5"/>
      <c r="G677" s="5"/>
      <c r="H677" s="5"/>
      <c r="I677" s="5"/>
      <c r="J677" s="5"/>
      <c r="K677" s="5"/>
    </row>
    <row r="678" spans="3:11" x14ac:dyDescent="0.25">
      <c r="C678" s="5"/>
      <c r="D678" s="5"/>
      <c r="E678" s="5"/>
      <c r="F678" s="5"/>
      <c r="G678" s="5"/>
      <c r="H678" s="5"/>
      <c r="I678" s="5"/>
      <c r="J678" s="5"/>
      <c r="K678" s="5"/>
    </row>
    <row r="679" spans="3:11" x14ac:dyDescent="0.25">
      <c r="C679" s="5"/>
      <c r="D679" s="5"/>
      <c r="E679" s="5"/>
      <c r="F679" s="5"/>
      <c r="G679" s="5"/>
      <c r="H679" s="5"/>
      <c r="I679" s="5"/>
      <c r="J679" s="5"/>
      <c r="K679" s="5"/>
    </row>
    <row r="680" spans="3:11" x14ac:dyDescent="0.25">
      <c r="C680" s="5"/>
      <c r="D680" s="5"/>
      <c r="E680" s="5"/>
      <c r="F680" s="5"/>
      <c r="G680" s="5"/>
      <c r="H680" s="5"/>
      <c r="I680" s="5"/>
      <c r="J680" s="5"/>
      <c r="K680" s="5"/>
    </row>
    <row r="681" spans="3:11" x14ac:dyDescent="0.25">
      <c r="C681" s="5"/>
      <c r="D681" s="5"/>
      <c r="E681" s="5"/>
      <c r="F681" s="5"/>
      <c r="G681" s="5"/>
      <c r="H681" s="5"/>
      <c r="I681" s="5"/>
      <c r="J681" s="5"/>
      <c r="K681" s="5"/>
    </row>
    <row r="682" spans="3:11" x14ac:dyDescent="0.25">
      <c r="C682" s="5"/>
      <c r="D682" s="5"/>
      <c r="E682" s="5"/>
      <c r="F682" s="5"/>
      <c r="G682" s="5"/>
      <c r="H682" s="5"/>
      <c r="I682" s="5"/>
      <c r="J682" s="5"/>
      <c r="K682" s="5"/>
    </row>
    <row r="683" spans="3:11" x14ac:dyDescent="0.25">
      <c r="C683" s="5"/>
      <c r="D683" s="5"/>
      <c r="E683" s="5"/>
      <c r="F683" s="5"/>
      <c r="G683" s="5"/>
      <c r="H683" s="5"/>
      <c r="I683" s="5"/>
      <c r="J683" s="5"/>
      <c r="K683" s="5"/>
    </row>
    <row r="684" spans="3:11" x14ac:dyDescent="0.25">
      <c r="C684" s="5"/>
      <c r="D684" s="5"/>
      <c r="E684" s="5"/>
      <c r="F684" s="5"/>
      <c r="G684" s="5"/>
      <c r="H684" s="5"/>
      <c r="I684" s="5"/>
      <c r="J684" s="5"/>
      <c r="K684" s="5"/>
    </row>
    <row r="685" spans="3:11" x14ac:dyDescent="0.25">
      <c r="C685" s="5"/>
      <c r="D685" s="5"/>
      <c r="E685" s="5"/>
      <c r="F685" s="5"/>
      <c r="G685" s="5"/>
      <c r="H685" s="5"/>
      <c r="I685" s="5"/>
      <c r="J685" s="5"/>
      <c r="K685" s="5"/>
    </row>
    <row r="686" spans="3:11" x14ac:dyDescent="0.25">
      <c r="C686" s="5"/>
      <c r="D686" s="5"/>
      <c r="E686" s="5"/>
      <c r="F686" s="5"/>
      <c r="G686" s="5"/>
      <c r="H686" s="5"/>
      <c r="I686" s="5"/>
      <c r="J686" s="5"/>
      <c r="K686" s="5"/>
    </row>
    <row r="687" spans="3:11" x14ac:dyDescent="0.25">
      <c r="C687" s="5"/>
      <c r="D687" s="5"/>
      <c r="E687" s="5"/>
      <c r="F687" s="5"/>
      <c r="G687" s="5"/>
      <c r="H687" s="5"/>
      <c r="I687" s="5"/>
      <c r="J687" s="5"/>
      <c r="K687" s="5"/>
    </row>
    <row r="688" spans="3:11" x14ac:dyDescent="0.25">
      <c r="C688" s="5"/>
      <c r="D688" s="5"/>
      <c r="E688" s="5"/>
      <c r="F688" s="5"/>
      <c r="G688" s="5"/>
      <c r="H688" s="5"/>
      <c r="I688" s="5"/>
      <c r="J688" s="5"/>
      <c r="K688" s="5"/>
    </row>
    <row r="689" spans="3:11" x14ac:dyDescent="0.25">
      <c r="C689" s="5"/>
      <c r="D689" s="5"/>
      <c r="E689" s="5"/>
      <c r="F689" s="5"/>
      <c r="G689" s="5"/>
      <c r="H689" s="5"/>
      <c r="I689" s="5"/>
      <c r="J689" s="5"/>
      <c r="K689" s="5"/>
    </row>
    <row r="690" spans="3:11" x14ac:dyDescent="0.25">
      <c r="C690" s="5"/>
      <c r="D690" s="5"/>
      <c r="E690" s="5"/>
      <c r="F690" s="5"/>
      <c r="G690" s="5"/>
      <c r="H690" s="5"/>
      <c r="I690" s="5"/>
      <c r="J690" s="5"/>
      <c r="K690" s="5"/>
    </row>
    <row r="691" spans="3:11" x14ac:dyDescent="0.25">
      <c r="C691" s="5"/>
      <c r="D691" s="5"/>
      <c r="E691" s="5"/>
      <c r="F691" s="5"/>
      <c r="G691" s="5"/>
      <c r="H691" s="5"/>
      <c r="I691" s="5"/>
      <c r="J691" s="5"/>
      <c r="K691" s="5"/>
    </row>
    <row r="692" spans="3:11" x14ac:dyDescent="0.25">
      <c r="C692" s="5"/>
      <c r="D692" s="5"/>
      <c r="E692" s="5"/>
      <c r="F692" s="5"/>
      <c r="G692" s="5"/>
      <c r="H692" s="5"/>
      <c r="I692" s="5"/>
      <c r="J692" s="5"/>
      <c r="K692" s="5"/>
    </row>
    <row r="693" spans="3:11" x14ac:dyDescent="0.25">
      <c r="C693" s="5"/>
      <c r="D693" s="5"/>
      <c r="E693" s="5"/>
      <c r="F693" s="5"/>
      <c r="G693" s="5"/>
      <c r="H693" s="5"/>
      <c r="I693" s="5"/>
      <c r="J693" s="5"/>
      <c r="K693" s="5"/>
    </row>
    <row r="694" spans="3:11" x14ac:dyDescent="0.25">
      <c r="C694" s="5"/>
      <c r="D694" s="5"/>
      <c r="E694" s="5"/>
      <c r="F694" s="5"/>
      <c r="G694" s="5"/>
      <c r="H694" s="5"/>
      <c r="I694" s="5"/>
      <c r="J694" s="5"/>
      <c r="K694" s="5"/>
    </row>
    <row r="695" spans="3:11" x14ac:dyDescent="0.25">
      <c r="C695" s="5"/>
      <c r="D695" s="5"/>
      <c r="E695" s="5"/>
      <c r="F695" s="5"/>
      <c r="G695" s="5"/>
      <c r="H695" s="5"/>
      <c r="I695" s="5"/>
      <c r="J695" s="5"/>
      <c r="K695" s="5"/>
    </row>
    <row r="696" spans="3:11" x14ac:dyDescent="0.25">
      <c r="C696" s="5"/>
      <c r="D696" s="5"/>
      <c r="E696" s="5"/>
      <c r="F696" s="5"/>
      <c r="G696" s="5"/>
      <c r="H696" s="5"/>
      <c r="I696" s="5"/>
      <c r="J696" s="5"/>
      <c r="K696" s="5"/>
    </row>
    <row r="697" spans="3:11" x14ac:dyDescent="0.25">
      <c r="C697" s="5"/>
      <c r="D697" s="5"/>
      <c r="E697" s="5"/>
      <c r="F697" s="5"/>
      <c r="G697" s="5"/>
      <c r="H697" s="5"/>
      <c r="I697" s="5"/>
      <c r="J697" s="5"/>
      <c r="K697" s="5"/>
    </row>
    <row r="698" spans="3:11" x14ac:dyDescent="0.25">
      <c r="C698" s="5"/>
      <c r="D698" s="5"/>
      <c r="E698" s="5"/>
      <c r="F698" s="5"/>
      <c r="G698" s="5"/>
      <c r="H698" s="5"/>
      <c r="I698" s="5"/>
      <c r="J698" s="5"/>
      <c r="K698" s="5"/>
    </row>
    <row r="699" spans="3:11" x14ac:dyDescent="0.25">
      <c r="C699" s="5"/>
      <c r="D699" s="5"/>
      <c r="E699" s="5"/>
      <c r="F699" s="5"/>
      <c r="G699" s="5"/>
      <c r="H699" s="5"/>
      <c r="I699" s="5"/>
      <c r="J699" s="5"/>
      <c r="K699" s="5"/>
    </row>
    <row r="700" spans="3:11" x14ac:dyDescent="0.25">
      <c r="C700" s="5"/>
      <c r="D700" s="5"/>
      <c r="E700" s="5"/>
      <c r="F700" s="5"/>
      <c r="G700" s="5"/>
      <c r="H700" s="5"/>
      <c r="I700" s="5"/>
      <c r="J700" s="5"/>
      <c r="K700" s="5"/>
    </row>
    <row r="701" spans="3:11" x14ac:dyDescent="0.25">
      <c r="C701" s="5"/>
      <c r="D701" s="5"/>
      <c r="E701" s="5"/>
      <c r="F701" s="5"/>
      <c r="G701" s="5"/>
      <c r="H701" s="5"/>
      <c r="I701" s="5"/>
      <c r="J701" s="5"/>
      <c r="K701" s="5"/>
    </row>
    <row r="702" spans="3:11" x14ac:dyDescent="0.25">
      <c r="C702" s="5"/>
      <c r="D702" s="5"/>
      <c r="E702" s="5"/>
      <c r="F702" s="5"/>
      <c r="G702" s="5"/>
      <c r="H702" s="5"/>
      <c r="I702" s="5"/>
      <c r="J702" s="5"/>
      <c r="K702" s="5"/>
    </row>
    <row r="703" spans="3:11" x14ac:dyDescent="0.25">
      <c r="C703" s="5"/>
      <c r="D703" s="5"/>
      <c r="E703" s="5"/>
      <c r="F703" s="5"/>
      <c r="G703" s="5"/>
      <c r="H703" s="5"/>
      <c r="I703" s="5"/>
      <c r="J703" s="5"/>
      <c r="K703" s="5"/>
    </row>
    <row r="704" spans="3:11" x14ac:dyDescent="0.25">
      <c r="C704" s="5"/>
      <c r="D704" s="5"/>
      <c r="E704" s="5"/>
      <c r="F704" s="5"/>
      <c r="G704" s="5"/>
      <c r="H704" s="5"/>
      <c r="I704" s="5"/>
      <c r="J704" s="5"/>
      <c r="K704" s="5"/>
    </row>
    <row r="705" spans="3:11" x14ac:dyDescent="0.25">
      <c r="C705" s="5"/>
      <c r="D705" s="5"/>
      <c r="E705" s="5"/>
      <c r="F705" s="5"/>
      <c r="G705" s="5"/>
      <c r="H705" s="5"/>
      <c r="I705" s="5"/>
      <c r="J705" s="5"/>
      <c r="K705" s="5"/>
    </row>
    <row r="706" spans="3:11" x14ac:dyDescent="0.25">
      <c r="C706" s="5"/>
      <c r="D706" s="5"/>
      <c r="E706" s="5"/>
      <c r="F706" s="5"/>
      <c r="G706" s="5"/>
      <c r="H706" s="5"/>
      <c r="I706" s="5"/>
      <c r="J706" s="5"/>
      <c r="K706" s="5"/>
    </row>
    <row r="707" spans="3:11" x14ac:dyDescent="0.25">
      <c r="C707" s="5"/>
      <c r="D707" s="5"/>
      <c r="E707" s="5"/>
      <c r="F707" s="5"/>
      <c r="G707" s="5"/>
      <c r="H707" s="5"/>
      <c r="I707" s="5"/>
      <c r="J707" s="5"/>
      <c r="K707" s="5"/>
    </row>
    <row r="708" spans="3:11" x14ac:dyDescent="0.25">
      <c r="C708" s="5"/>
      <c r="D708" s="5"/>
      <c r="E708" s="5"/>
      <c r="F708" s="5"/>
      <c r="G708" s="5"/>
      <c r="H708" s="5"/>
      <c r="I708" s="5"/>
      <c r="J708" s="5"/>
      <c r="K708" s="5"/>
    </row>
    <row r="709" spans="3:11" x14ac:dyDescent="0.25">
      <c r="C709" s="5"/>
      <c r="D709" s="5"/>
      <c r="E709" s="5"/>
      <c r="F709" s="5"/>
      <c r="G709" s="5"/>
      <c r="H709" s="5"/>
      <c r="I709" s="5"/>
      <c r="J709" s="5"/>
      <c r="K709" s="5"/>
    </row>
    <row r="710" spans="3:11" x14ac:dyDescent="0.25">
      <c r="C710" s="5"/>
      <c r="D710" s="5"/>
      <c r="E710" s="5"/>
      <c r="F710" s="5"/>
      <c r="G710" s="5"/>
      <c r="H710" s="5"/>
      <c r="I710" s="5"/>
      <c r="J710" s="5"/>
      <c r="K710" s="5"/>
    </row>
    <row r="711" spans="3:11" x14ac:dyDescent="0.25">
      <c r="C711" s="5"/>
      <c r="D711" s="5"/>
      <c r="E711" s="5"/>
      <c r="F711" s="5"/>
      <c r="G711" s="5"/>
      <c r="H711" s="5"/>
      <c r="I711" s="5"/>
      <c r="J711" s="5"/>
      <c r="K711" s="5"/>
    </row>
    <row r="712" spans="3:11" x14ac:dyDescent="0.25">
      <c r="C712" s="5"/>
      <c r="D712" s="5"/>
      <c r="E712" s="5"/>
      <c r="F712" s="5"/>
      <c r="G712" s="5"/>
      <c r="H712" s="5"/>
      <c r="I712" s="5"/>
      <c r="J712" s="5"/>
      <c r="K712" s="5"/>
    </row>
    <row r="713" spans="3:11" x14ac:dyDescent="0.25">
      <c r="C713" s="5"/>
      <c r="D713" s="5"/>
      <c r="E713" s="5"/>
      <c r="F713" s="5"/>
      <c r="G713" s="5"/>
      <c r="H713" s="5"/>
      <c r="I713" s="5"/>
      <c r="J713" s="5"/>
      <c r="K713" s="5"/>
    </row>
    <row r="714" spans="3:11" x14ac:dyDescent="0.25">
      <c r="C714" s="5"/>
      <c r="D714" s="5"/>
      <c r="E714" s="5"/>
      <c r="F714" s="5"/>
      <c r="G714" s="5"/>
      <c r="H714" s="5"/>
      <c r="I714" s="5"/>
      <c r="J714" s="5"/>
      <c r="K714" s="5"/>
    </row>
    <row r="715" spans="3:11" x14ac:dyDescent="0.25">
      <c r="C715" s="5"/>
      <c r="D715" s="5"/>
      <c r="E715" s="5"/>
      <c r="F715" s="5"/>
      <c r="G715" s="5"/>
      <c r="H715" s="5"/>
      <c r="I715" s="5"/>
      <c r="J715" s="5"/>
      <c r="K715" s="5"/>
    </row>
    <row r="716" spans="3:11" x14ac:dyDescent="0.25">
      <c r="C716" s="5"/>
      <c r="D716" s="5"/>
      <c r="E716" s="5"/>
      <c r="F716" s="5"/>
      <c r="G716" s="5"/>
      <c r="H716" s="5"/>
      <c r="I716" s="5"/>
      <c r="J716" s="5"/>
      <c r="K716" s="5"/>
    </row>
    <row r="717" spans="3:11" x14ac:dyDescent="0.25">
      <c r="C717" s="5"/>
      <c r="D717" s="5"/>
      <c r="E717" s="5"/>
      <c r="F717" s="5"/>
      <c r="G717" s="5"/>
      <c r="H717" s="5"/>
      <c r="I717" s="5"/>
      <c r="J717" s="5"/>
      <c r="K717" s="5"/>
    </row>
    <row r="718" spans="3:11" x14ac:dyDescent="0.25">
      <c r="C718" s="5"/>
      <c r="D718" s="5"/>
      <c r="E718" s="5"/>
      <c r="F718" s="5"/>
      <c r="G718" s="5"/>
      <c r="H718" s="5"/>
      <c r="I718" s="5"/>
      <c r="J718" s="5"/>
      <c r="K718" s="5"/>
    </row>
    <row r="719" spans="3:11" x14ac:dyDescent="0.25">
      <c r="C719" s="5"/>
      <c r="D719" s="5"/>
      <c r="E719" s="5"/>
      <c r="F719" s="5"/>
      <c r="G719" s="5"/>
      <c r="H719" s="5"/>
      <c r="I719" s="5"/>
      <c r="J719" s="5"/>
      <c r="K719" s="5"/>
    </row>
    <row r="720" spans="3:11" x14ac:dyDescent="0.25">
      <c r="C720" s="5"/>
      <c r="D720" s="5"/>
      <c r="E720" s="5"/>
      <c r="F720" s="5"/>
      <c r="G720" s="5"/>
      <c r="H720" s="5"/>
      <c r="I720" s="5"/>
      <c r="J720" s="5"/>
      <c r="K720" s="5"/>
    </row>
    <row r="721" spans="3:11" x14ac:dyDescent="0.25">
      <c r="C721" s="5"/>
      <c r="D721" s="5"/>
      <c r="E721" s="5"/>
      <c r="F721" s="5"/>
      <c r="G721" s="5"/>
      <c r="H721" s="5"/>
      <c r="I721" s="5"/>
      <c r="J721" s="5"/>
      <c r="K721" s="5"/>
    </row>
    <row r="722" spans="3:11" x14ac:dyDescent="0.25">
      <c r="C722" s="5"/>
      <c r="D722" s="5"/>
      <c r="E722" s="5"/>
      <c r="F722" s="5"/>
      <c r="G722" s="5"/>
      <c r="H722" s="5"/>
      <c r="I722" s="5"/>
      <c r="J722" s="5"/>
      <c r="K722" s="5"/>
    </row>
    <row r="723" spans="3:11" x14ac:dyDescent="0.25">
      <c r="C723" s="5"/>
      <c r="D723" s="5"/>
      <c r="E723" s="5"/>
      <c r="F723" s="5"/>
      <c r="G723" s="5"/>
      <c r="H723" s="5"/>
      <c r="I723" s="5"/>
      <c r="J723" s="5"/>
      <c r="K723" s="5"/>
    </row>
    <row r="724" spans="3:11" x14ac:dyDescent="0.25">
      <c r="C724" s="5"/>
      <c r="D724" s="5"/>
      <c r="E724" s="5"/>
      <c r="F724" s="5"/>
      <c r="G724" s="5"/>
      <c r="H724" s="5"/>
      <c r="I724" s="5"/>
      <c r="J724" s="5"/>
      <c r="K724" s="5"/>
    </row>
    <row r="725" spans="3:11" x14ac:dyDescent="0.25">
      <c r="C725" s="5"/>
      <c r="D725" s="5"/>
      <c r="E725" s="5"/>
      <c r="F725" s="5"/>
      <c r="G725" s="5"/>
      <c r="H725" s="5"/>
      <c r="I725" s="5"/>
      <c r="J725" s="5"/>
      <c r="K725" s="5"/>
    </row>
    <row r="726" spans="3:11" x14ac:dyDescent="0.25">
      <c r="C726" s="5"/>
      <c r="D726" s="5"/>
      <c r="E726" s="5"/>
      <c r="F726" s="5"/>
      <c r="G726" s="5"/>
      <c r="H726" s="5"/>
      <c r="I726" s="5"/>
      <c r="J726" s="5"/>
      <c r="K726" s="5"/>
    </row>
    <row r="727" spans="3:11" x14ac:dyDescent="0.25">
      <c r="C727" s="5"/>
      <c r="D727" s="5"/>
      <c r="E727" s="5"/>
      <c r="F727" s="5"/>
      <c r="G727" s="5"/>
      <c r="H727" s="5"/>
      <c r="I727" s="5"/>
      <c r="J727" s="5"/>
      <c r="K727" s="5"/>
    </row>
    <row r="728" spans="3:11" x14ac:dyDescent="0.25">
      <c r="C728" s="5"/>
      <c r="D728" s="5"/>
      <c r="E728" s="5"/>
      <c r="F728" s="5"/>
      <c r="G728" s="5"/>
      <c r="H728" s="5"/>
      <c r="I728" s="5"/>
      <c r="J728" s="5"/>
      <c r="K728" s="5"/>
    </row>
    <row r="729" spans="3:11" x14ac:dyDescent="0.25">
      <c r="C729" s="5"/>
      <c r="D729" s="5"/>
      <c r="E729" s="5"/>
      <c r="F729" s="5"/>
      <c r="G729" s="5"/>
      <c r="H729" s="5"/>
      <c r="I729" s="5"/>
      <c r="J729" s="5"/>
      <c r="K729" s="5"/>
    </row>
    <row r="730" spans="3:11" x14ac:dyDescent="0.25">
      <c r="C730" s="5"/>
      <c r="D730" s="5"/>
      <c r="E730" s="5"/>
      <c r="F730" s="5"/>
      <c r="G730" s="5"/>
      <c r="H730" s="5"/>
      <c r="I730" s="5"/>
      <c r="J730" s="5"/>
      <c r="K730" s="5"/>
    </row>
    <row r="731" spans="3:11" x14ac:dyDescent="0.25">
      <c r="C731" s="5"/>
      <c r="D731" s="5"/>
      <c r="E731" s="5"/>
      <c r="F731" s="5"/>
      <c r="G731" s="5"/>
      <c r="H731" s="5"/>
      <c r="I731" s="5"/>
      <c r="J731" s="5"/>
      <c r="K731" s="5"/>
    </row>
    <row r="732" spans="3:11" x14ac:dyDescent="0.25">
      <c r="C732" s="5"/>
      <c r="D732" s="5"/>
      <c r="E732" s="5"/>
      <c r="F732" s="5"/>
      <c r="G732" s="5"/>
      <c r="H732" s="5"/>
      <c r="I732" s="5"/>
      <c r="J732" s="5"/>
      <c r="K732" s="5"/>
    </row>
    <row r="733" spans="3:11" x14ac:dyDescent="0.25">
      <c r="C733" s="5"/>
      <c r="D733" s="5"/>
      <c r="E733" s="5"/>
      <c r="F733" s="5"/>
      <c r="G733" s="5"/>
      <c r="H733" s="5"/>
      <c r="I733" s="5"/>
      <c r="J733" s="5"/>
      <c r="K733" s="5"/>
    </row>
    <row r="734" spans="3:11" x14ac:dyDescent="0.25">
      <c r="C734" s="5"/>
      <c r="D734" s="5"/>
      <c r="E734" s="5"/>
      <c r="F734" s="5"/>
      <c r="G734" s="5"/>
      <c r="H734" s="5"/>
      <c r="I734" s="5"/>
      <c r="J734" s="5"/>
      <c r="K734" s="5"/>
    </row>
    <row r="735" spans="3:11" x14ac:dyDescent="0.25">
      <c r="C735" s="5"/>
      <c r="D735" s="5"/>
      <c r="E735" s="5"/>
      <c r="F735" s="5"/>
      <c r="G735" s="5"/>
      <c r="H735" s="5"/>
      <c r="I735" s="5"/>
      <c r="J735" s="5"/>
      <c r="K735" s="5"/>
    </row>
    <row r="736" spans="3:11" x14ac:dyDescent="0.25">
      <c r="C736" s="5"/>
      <c r="D736" s="5"/>
      <c r="E736" s="5"/>
      <c r="F736" s="5"/>
      <c r="G736" s="5"/>
      <c r="H736" s="5"/>
      <c r="I736" s="5"/>
      <c r="J736" s="5"/>
      <c r="K736" s="5"/>
    </row>
    <row r="737" spans="3:11" x14ac:dyDescent="0.25">
      <c r="C737" s="5"/>
      <c r="D737" s="5"/>
      <c r="E737" s="5"/>
      <c r="F737" s="5"/>
      <c r="G737" s="5"/>
      <c r="H737" s="5"/>
      <c r="I737" s="5"/>
      <c r="J737" s="5"/>
      <c r="K737" s="5"/>
    </row>
    <row r="738" spans="3:11" x14ac:dyDescent="0.25">
      <c r="C738" s="5"/>
      <c r="D738" s="5"/>
      <c r="E738" s="5"/>
      <c r="F738" s="5"/>
      <c r="G738" s="5"/>
      <c r="H738" s="5"/>
      <c r="I738" s="5"/>
      <c r="J738" s="5"/>
      <c r="K738" s="5"/>
    </row>
    <row r="739" spans="3:11" x14ac:dyDescent="0.25">
      <c r="C739" s="5"/>
      <c r="D739" s="5"/>
      <c r="E739" s="5"/>
      <c r="F739" s="5"/>
      <c r="G739" s="5"/>
      <c r="H739" s="5"/>
      <c r="I739" s="5"/>
      <c r="J739" s="5"/>
      <c r="K739" s="5"/>
    </row>
    <row r="740" spans="3:11" x14ac:dyDescent="0.25">
      <c r="C740" s="5"/>
      <c r="D740" s="5"/>
      <c r="E740" s="5"/>
      <c r="F740" s="5"/>
      <c r="G740" s="5"/>
      <c r="H740" s="5"/>
      <c r="I740" s="5"/>
      <c r="J740" s="5"/>
      <c r="K740" s="5"/>
    </row>
    <row r="741" spans="3:11" x14ac:dyDescent="0.25">
      <c r="C741" s="5"/>
      <c r="D741" s="5"/>
      <c r="E741" s="5"/>
      <c r="F741" s="5"/>
      <c r="G741" s="5"/>
      <c r="H741" s="5"/>
      <c r="I741" s="5"/>
      <c r="J741" s="5"/>
      <c r="K741" s="5"/>
    </row>
    <row r="742" spans="3:11" x14ac:dyDescent="0.25">
      <c r="C742" s="5"/>
      <c r="D742" s="5"/>
      <c r="E742" s="5"/>
      <c r="F742" s="5"/>
      <c r="G742" s="5"/>
      <c r="H742" s="5"/>
      <c r="I742" s="5"/>
      <c r="J742" s="5"/>
      <c r="K742" s="5"/>
    </row>
    <row r="743" spans="3:11" x14ac:dyDescent="0.25">
      <c r="C743" s="5"/>
      <c r="D743" s="5"/>
      <c r="E743" s="5"/>
      <c r="F743" s="5"/>
      <c r="G743" s="5"/>
      <c r="H743" s="5"/>
      <c r="I743" s="5"/>
      <c r="J743" s="5"/>
      <c r="K743" s="5"/>
    </row>
    <row r="744" spans="3:11" x14ac:dyDescent="0.25">
      <c r="C744" s="5"/>
      <c r="D744" s="5"/>
      <c r="E744" s="5"/>
      <c r="F744" s="5"/>
      <c r="G744" s="5"/>
      <c r="H744" s="5"/>
      <c r="I744" s="5"/>
      <c r="J744" s="5"/>
      <c r="K744" s="5"/>
    </row>
    <row r="745" spans="3:11" x14ac:dyDescent="0.25">
      <c r="C745" s="5"/>
      <c r="D745" s="5"/>
      <c r="E745" s="5"/>
      <c r="F745" s="5"/>
      <c r="G745" s="5"/>
      <c r="H745" s="5"/>
      <c r="I745" s="5"/>
      <c r="J745" s="5"/>
      <c r="K745" s="5"/>
    </row>
    <row r="746" spans="3:11" x14ac:dyDescent="0.25">
      <c r="C746" s="5"/>
      <c r="D746" s="5"/>
      <c r="E746" s="5"/>
      <c r="F746" s="5"/>
      <c r="G746" s="5"/>
      <c r="H746" s="5"/>
      <c r="I746" s="5"/>
      <c r="J746" s="5"/>
      <c r="K746" s="5"/>
    </row>
    <row r="747" spans="3:11" x14ac:dyDescent="0.25">
      <c r="C747" s="5"/>
      <c r="D747" s="5"/>
      <c r="E747" s="5"/>
      <c r="F747" s="5"/>
      <c r="G747" s="5"/>
      <c r="H747" s="5"/>
      <c r="I747" s="5"/>
      <c r="J747" s="5"/>
      <c r="K747" s="5"/>
    </row>
    <row r="748" spans="3:11" x14ac:dyDescent="0.25">
      <c r="C748" s="5"/>
      <c r="D748" s="5"/>
      <c r="E748" s="5"/>
      <c r="F748" s="5"/>
      <c r="G748" s="5"/>
      <c r="H748" s="5"/>
      <c r="I748" s="5"/>
      <c r="J748" s="5"/>
      <c r="K748" s="5"/>
    </row>
    <row r="749" spans="3:11" x14ac:dyDescent="0.25">
      <c r="C749" s="5"/>
      <c r="D749" s="5"/>
      <c r="E749" s="5"/>
      <c r="F749" s="5"/>
      <c r="G749" s="5"/>
      <c r="H749" s="5"/>
      <c r="I749" s="5"/>
      <c r="J749" s="5"/>
      <c r="K749" s="5"/>
    </row>
    <row r="750" spans="3:11" x14ac:dyDescent="0.25">
      <c r="C750" s="5"/>
      <c r="D750" s="5"/>
      <c r="E750" s="5"/>
      <c r="F750" s="5"/>
      <c r="G750" s="5"/>
      <c r="H750" s="5"/>
      <c r="I750" s="5"/>
      <c r="J750" s="5"/>
      <c r="K750" s="5"/>
    </row>
    <row r="751" spans="3:11" x14ac:dyDescent="0.25">
      <c r="C751" s="5"/>
      <c r="D751" s="5"/>
      <c r="E751" s="5"/>
      <c r="F751" s="5"/>
      <c r="G751" s="5"/>
      <c r="H751" s="5"/>
      <c r="I751" s="5"/>
      <c r="J751" s="5"/>
      <c r="K751" s="5"/>
    </row>
    <row r="752" spans="3:11" x14ac:dyDescent="0.25">
      <c r="C752" s="5"/>
      <c r="D752" s="5"/>
      <c r="E752" s="5"/>
      <c r="F752" s="5"/>
      <c r="G752" s="5"/>
      <c r="H752" s="5"/>
      <c r="I752" s="5"/>
      <c r="J752" s="5"/>
      <c r="K752" s="5"/>
    </row>
    <row r="753" spans="3:11" x14ac:dyDescent="0.25">
      <c r="C753" s="5"/>
      <c r="D753" s="5"/>
      <c r="E753" s="5"/>
      <c r="F753" s="5"/>
      <c r="G753" s="5"/>
      <c r="H753" s="5"/>
      <c r="I753" s="5"/>
      <c r="J753" s="5"/>
      <c r="K753" s="5"/>
    </row>
    <row r="754" spans="3:11" x14ac:dyDescent="0.25">
      <c r="C754" s="5"/>
      <c r="D754" s="5"/>
      <c r="E754" s="5"/>
      <c r="F754" s="5"/>
      <c r="G754" s="5"/>
      <c r="H754" s="5"/>
      <c r="I754" s="5"/>
      <c r="J754" s="5"/>
      <c r="K754" s="5"/>
    </row>
    <row r="755" spans="3:11" x14ac:dyDescent="0.25">
      <c r="C755" s="5"/>
      <c r="D755" s="5"/>
      <c r="E755" s="5"/>
      <c r="F755" s="5"/>
      <c r="G755" s="5"/>
      <c r="H755" s="5"/>
      <c r="I755" s="5"/>
      <c r="J755" s="5"/>
      <c r="K755" s="5"/>
    </row>
    <row r="756" spans="3:11" x14ac:dyDescent="0.25">
      <c r="C756" s="5"/>
      <c r="D756" s="5"/>
      <c r="E756" s="5"/>
      <c r="F756" s="5"/>
      <c r="G756" s="5"/>
      <c r="H756" s="5"/>
      <c r="I756" s="5"/>
      <c r="J756" s="5"/>
      <c r="K756" s="5"/>
    </row>
    <row r="757" spans="3:11" x14ac:dyDescent="0.25">
      <c r="C757" s="5"/>
      <c r="D757" s="5"/>
      <c r="E757" s="5"/>
      <c r="F757" s="5"/>
      <c r="G757" s="5"/>
      <c r="H757" s="5"/>
      <c r="I757" s="5"/>
      <c r="J757" s="5"/>
      <c r="K757" s="5"/>
    </row>
    <row r="758" spans="3:11" x14ac:dyDescent="0.25">
      <c r="C758" s="5"/>
      <c r="D758" s="5"/>
      <c r="E758" s="5"/>
      <c r="F758" s="5"/>
      <c r="G758" s="5"/>
      <c r="H758" s="5"/>
      <c r="I758" s="5"/>
      <c r="J758" s="5"/>
      <c r="K758" s="5"/>
    </row>
    <row r="759" spans="3:11" x14ac:dyDescent="0.25">
      <c r="C759" s="5"/>
      <c r="D759" s="5"/>
      <c r="E759" s="5"/>
      <c r="F759" s="5"/>
      <c r="G759" s="5"/>
      <c r="H759" s="5"/>
      <c r="I759" s="5"/>
      <c r="J759" s="5"/>
      <c r="K759" s="5"/>
    </row>
    <row r="760" spans="3:11" x14ac:dyDescent="0.25">
      <c r="C760" s="5"/>
      <c r="D760" s="5"/>
      <c r="E760" s="5"/>
      <c r="F760" s="5"/>
      <c r="G760" s="5"/>
      <c r="H760" s="5"/>
      <c r="I760" s="5"/>
      <c r="J760" s="5"/>
      <c r="K760" s="5"/>
    </row>
    <row r="761" spans="3:11" x14ac:dyDescent="0.25">
      <c r="C761" s="5"/>
      <c r="D761" s="5"/>
      <c r="E761" s="5"/>
      <c r="F761" s="5"/>
      <c r="G761" s="5"/>
      <c r="H761" s="5"/>
      <c r="I761" s="5"/>
      <c r="J761" s="5"/>
      <c r="K761" s="5"/>
    </row>
    <row r="762" spans="3:11" x14ac:dyDescent="0.25">
      <c r="C762" s="5"/>
      <c r="D762" s="5"/>
      <c r="E762" s="5"/>
      <c r="F762" s="5"/>
      <c r="G762" s="5"/>
      <c r="H762" s="5"/>
      <c r="I762" s="5"/>
      <c r="J762" s="5"/>
      <c r="K762" s="5"/>
    </row>
    <row r="763" spans="3:11" x14ac:dyDescent="0.25">
      <c r="C763" s="5"/>
      <c r="D763" s="5"/>
      <c r="E763" s="5"/>
      <c r="F763" s="5"/>
      <c r="G763" s="5"/>
      <c r="H763" s="5"/>
      <c r="I763" s="5"/>
      <c r="J763" s="5"/>
      <c r="K763" s="5"/>
    </row>
    <row r="764" spans="3:11" x14ac:dyDescent="0.25">
      <c r="C764" s="5"/>
      <c r="D764" s="5"/>
      <c r="E764" s="5"/>
      <c r="F764" s="5"/>
      <c r="G764" s="5"/>
      <c r="H764" s="5"/>
      <c r="I764" s="5"/>
      <c r="J764" s="5"/>
      <c r="K764" s="5"/>
    </row>
    <row r="765" spans="3:11" x14ac:dyDescent="0.25">
      <c r="C765" s="5"/>
      <c r="D765" s="5"/>
      <c r="E765" s="5"/>
      <c r="F765" s="5"/>
      <c r="G765" s="5"/>
      <c r="H765" s="5"/>
      <c r="I765" s="5"/>
      <c r="J765" s="5"/>
      <c r="K765" s="5"/>
    </row>
    <row r="766" spans="3:11" x14ac:dyDescent="0.25">
      <c r="C766" s="5"/>
      <c r="D766" s="5"/>
      <c r="E766" s="5"/>
      <c r="F766" s="5"/>
      <c r="G766" s="5"/>
      <c r="H766" s="5"/>
      <c r="I766" s="5"/>
      <c r="J766" s="5"/>
      <c r="K766" s="5"/>
    </row>
    <row r="767" spans="3:11" x14ac:dyDescent="0.25">
      <c r="C767" s="5"/>
      <c r="D767" s="5"/>
      <c r="E767" s="5"/>
      <c r="F767" s="5"/>
      <c r="G767" s="5"/>
      <c r="H767" s="5"/>
      <c r="I767" s="5"/>
      <c r="J767" s="5"/>
      <c r="K767" s="5"/>
    </row>
    <row r="768" spans="3:11" x14ac:dyDescent="0.25">
      <c r="C768" s="5"/>
      <c r="D768" s="5"/>
      <c r="E768" s="5"/>
      <c r="F768" s="5"/>
      <c r="G768" s="5"/>
      <c r="H768" s="5"/>
      <c r="I768" s="5"/>
      <c r="J768" s="5"/>
      <c r="K768" s="5"/>
    </row>
    <row r="769" spans="3:11" x14ac:dyDescent="0.25">
      <c r="C769" s="5"/>
      <c r="D769" s="5"/>
      <c r="E769" s="5"/>
      <c r="F769" s="5"/>
      <c r="G769" s="5"/>
      <c r="H769" s="5"/>
      <c r="I769" s="5"/>
      <c r="J769" s="5"/>
      <c r="K769" s="5"/>
    </row>
    <row r="770" spans="3:11" x14ac:dyDescent="0.25">
      <c r="C770" s="5"/>
      <c r="D770" s="5"/>
      <c r="E770" s="5"/>
      <c r="F770" s="5"/>
      <c r="G770" s="5"/>
      <c r="H770" s="5"/>
      <c r="I770" s="5"/>
      <c r="J770" s="5"/>
      <c r="K770" s="5"/>
    </row>
    <row r="771" spans="3:11" x14ac:dyDescent="0.25">
      <c r="C771" s="5"/>
      <c r="D771" s="5"/>
      <c r="E771" s="5"/>
      <c r="F771" s="5"/>
      <c r="G771" s="5"/>
      <c r="H771" s="5"/>
      <c r="I771" s="5"/>
      <c r="J771" s="5"/>
      <c r="K771" s="5"/>
    </row>
    <row r="772" spans="3:11" x14ac:dyDescent="0.25">
      <c r="C772" s="5"/>
      <c r="D772" s="5"/>
      <c r="E772" s="5"/>
      <c r="F772" s="5"/>
      <c r="G772" s="5"/>
      <c r="H772" s="5"/>
      <c r="I772" s="5"/>
      <c r="J772" s="5"/>
      <c r="K772" s="5"/>
    </row>
    <row r="773" spans="3:11" x14ac:dyDescent="0.25">
      <c r="C773" s="5"/>
      <c r="D773" s="5"/>
      <c r="E773" s="5"/>
      <c r="F773" s="5"/>
      <c r="G773" s="5"/>
      <c r="H773" s="5"/>
      <c r="I773" s="5"/>
      <c r="J773" s="5"/>
      <c r="K773" s="5"/>
    </row>
    <row r="774" spans="3:11" x14ac:dyDescent="0.25">
      <c r="C774" s="5"/>
      <c r="D774" s="5"/>
      <c r="E774" s="5"/>
      <c r="F774" s="5"/>
      <c r="G774" s="5"/>
      <c r="H774" s="5"/>
      <c r="I774" s="5"/>
      <c r="J774" s="5"/>
      <c r="K774" s="5"/>
    </row>
    <row r="775" spans="3:11" x14ac:dyDescent="0.25">
      <c r="C775" s="5"/>
      <c r="D775" s="5"/>
      <c r="E775" s="5"/>
      <c r="F775" s="5"/>
      <c r="G775" s="5"/>
      <c r="H775" s="5"/>
      <c r="I775" s="5"/>
      <c r="J775" s="5"/>
      <c r="K775" s="5"/>
    </row>
    <row r="776" spans="3:11" x14ac:dyDescent="0.25">
      <c r="C776" s="5"/>
      <c r="D776" s="5"/>
      <c r="E776" s="5"/>
      <c r="F776" s="5"/>
      <c r="G776" s="5"/>
      <c r="H776" s="5"/>
      <c r="I776" s="5"/>
      <c r="J776" s="5"/>
      <c r="K776" s="5"/>
    </row>
    <row r="777" spans="3:11" x14ac:dyDescent="0.25">
      <c r="C777" s="5"/>
      <c r="D777" s="5"/>
      <c r="E777" s="5"/>
      <c r="F777" s="5"/>
      <c r="G777" s="5"/>
      <c r="H777" s="5"/>
      <c r="I777" s="5"/>
      <c r="J777" s="5"/>
      <c r="K777" s="5"/>
    </row>
    <row r="778" spans="3:11" x14ac:dyDescent="0.25">
      <c r="C778" s="5"/>
      <c r="D778" s="5"/>
      <c r="E778" s="5"/>
      <c r="F778" s="5"/>
      <c r="G778" s="5"/>
      <c r="H778" s="5"/>
      <c r="I778" s="5"/>
      <c r="J778" s="5"/>
      <c r="K778" s="5"/>
    </row>
    <row r="779" spans="3:11" x14ac:dyDescent="0.25">
      <c r="C779" s="5"/>
      <c r="D779" s="5"/>
      <c r="E779" s="5"/>
      <c r="F779" s="5"/>
      <c r="G779" s="5"/>
      <c r="H779" s="5"/>
      <c r="I779" s="5"/>
      <c r="J779" s="5"/>
      <c r="K779" s="5"/>
    </row>
    <row r="780" spans="3:11" x14ac:dyDescent="0.25">
      <c r="C780" s="5"/>
      <c r="D780" s="5"/>
      <c r="E780" s="5"/>
      <c r="F780" s="5"/>
      <c r="G780" s="5"/>
      <c r="H780" s="5"/>
      <c r="I780" s="5"/>
      <c r="J780" s="5"/>
      <c r="K780" s="5"/>
    </row>
    <row r="781" spans="3:11" x14ac:dyDescent="0.25">
      <c r="C781" s="5"/>
      <c r="D781" s="5"/>
      <c r="E781" s="5"/>
      <c r="F781" s="5"/>
      <c r="G781" s="5"/>
      <c r="H781" s="5"/>
      <c r="I781" s="5"/>
      <c r="J781" s="5"/>
      <c r="K781" s="5"/>
    </row>
    <row r="782" spans="3:11" x14ac:dyDescent="0.25">
      <c r="C782" s="5"/>
      <c r="D782" s="5"/>
      <c r="E782" s="5"/>
      <c r="F782" s="5"/>
      <c r="G782" s="5"/>
      <c r="H782" s="5"/>
      <c r="I782" s="5"/>
      <c r="J782" s="5"/>
      <c r="K782" s="5"/>
    </row>
    <row r="783" spans="3:11" x14ac:dyDescent="0.25">
      <c r="C783" s="5"/>
      <c r="D783" s="5"/>
      <c r="E783" s="5"/>
      <c r="F783" s="5"/>
      <c r="G783" s="5"/>
      <c r="H783" s="5"/>
      <c r="I783" s="5"/>
      <c r="J783" s="5"/>
      <c r="K783" s="5"/>
    </row>
    <row r="784" spans="3:11" x14ac:dyDescent="0.25">
      <c r="C784" s="5"/>
      <c r="D784" s="5"/>
      <c r="E784" s="5"/>
      <c r="F784" s="5"/>
      <c r="G784" s="5"/>
      <c r="H784" s="5"/>
      <c r="I784" s="5"/>
      <c r="J784" s="5"/>
      <c r="K784" s="5"/>
    </row>
    <row r="785" spans="3:11" x14ac:dyDescent="0.25">
      <c r="C785" s="5"/>
      <c r="D785" s="5"/>
      <c r="E785" s="5"/>
      <c r="F785" s="5"/>
      <c r="G785" s="5"/>
      <c r="H785" s="5"/>
      <c r="I785" s="5"/>
      <c r="J785" s="5"/>
      <c r="K785" s="5"/>
    </row>
    <row r="786" spans="3:11" x14ac:dyDescent="0.25">
      <c r="C786" s="5"/>
      <c r="D786" s="5"/>
      <c r="E786" s="5"/>
      <c r="F786" s="5"/>
      <c r="G786" s="5"/>
      <c r="H786" s="5"/>
      <c r="I786" s="5"/>
      <c r="J786" s="5"/>
      <c r="K786" s="5"/>
    </row>
    <row r="787" spans="3:11" x14ac:dyDescent="0.25">
      <c r="C787" s="5"/>
      <c r="D787" s="5"/>
      <c r="E787" s="5"/>
      <c r="F787" s="5"/>
      <c r="G787" s="5"/>
      <c r="H787" s="5"/>
      <c r="I787" s="5"/>
      <c r="J787" s="5"/>
      <c r="K787" s="5"/>
    </row>
    <row r="788" spans="3:11" x14ac:dyDescent="0.25">
      <c r="C788" s="5"/>
      <c r="D788" s="5"/>
      <c r="E788" s="5"/>
      <c r="F788" s="5"/>
      <c r="G788" s="5"/>
      <c r="H788" s="5"/>
      <c r="I788" s="5"/>
      <c r="J788" s="5"/>
      <c r="K788" s="5"/>
    </row>
    <row r="789" spans="3:11" x14ac:dyDescent="0.25">
      <c r="C789" s="5"/>
      <c r="D789" s="5"/>
      <c r="E789" s="5"/>
      <c r="F789" s="5"/>
      <c r="G789" s="5"/>
      <c r="H789" s="5"/>
      <c r="I789" s="5"/>
      <c r="J789" s="5"/>
      <c r="K789" s="5"/>
    </row>
    <row r="790" spans="3:11" x14ac:dyDescent="0.25">
      <c r="C790" s="5"/>
      <c r="D790" s="5"/>
      <c r="E790" s="5"/>
      <c r="F790" s="5"/>
      <c r="G790" s="5"/>
      <c r="H790" s="5"/>
      <c r="I790" s="5"/>
      <c r="J790" s="5"/>
      <c r="K790" s="5"/>
    </row>
    <row r="791" spans="3:11" x14ac:dyDescent="0.25">
      <c r="C791" s="5"/>
      <c r="D791" s="5"/>
      <c r="E791" s="5"/>
      <c r="F791" s="5"/>
      <c r="G791" s="5"/>
      <c r="H791" s="5"/>
      <c r="I791" s="5"/>
      <c r="J791" s="5"/>
      <c r="K791" s="5"/>
    </row>
    <row r="792" spans="3:11" x14ac:dyDescent="0.25">
      <c r="C792" s="5"/>
      <c r="D792" s="5"/>
      <c r="E792" s="5"/>
      <c r="F792" s="5"/>
      <c r="G792" s="5"/>
      <c r="H792" s="5"/>
      <c r="I792" s="5"/>
      <c r="J792" s="5"/>
      <c r="K792" s="5"/>
    </row>
    <row r="793" spans="3:11" x14ac:dyDescent="0.25">
      <c r="C793" s="5"/>
      <c r="D793" s="5"/>
      <c r="E793" s="5"/>
      <c r="F793" s="5"/>
      <c r="G793" s="5"/>
      <c r="H793" s="5"/>
      <c r="I793" s="5"/>
      <c r="J793" s="5"/>
      <c r="K793" s="5"/>
    </row>
    <row r="794" spans="3:11" x14ac:dyDescent="0.25">
      <c r="C794" s="5"/>
      <c r="D794" s="5"/>
      <c r="E794" s="5"/>
      <c r="F794" s="5"/>
      <c r="G794" s="5"/>
      <c r="H794" s="5"/>
      <c r="I794" s="5"/>
      <c r="J794" s="5"/>
      <c r="K794" s="5"/>
    </row>
    <row r="795" spans="3:11" x14ac:dyDescent="0.25">
      <c r="C795" s="5"/>
      <c r="D795" s="5"/>
      <c r="E795" s="5"/>
      <c r="F795" s="5"/>
      <c r="G795" s="5"/>
      <c r="H795" s="5"/>
      <c r="I795" s="5"/>
      <c r="J795" s="5"/>
      <c r="K795" s="5"/>
    </row>
    <row r="796" spans="3:11" x14ac:dyDescent="0.25">
      <c r="C796" s="5"/>
      <c r="D796" s="5"/>
      <c r="E796" s="5"/>
      <c r="F796" s="5"/>
      <c r="G796" s="5"/>
      <c r="H796" s="5"/>
      <c r="I796" s="5"/>
      <c r="J796" s="5"/>
      <c r="K796" s="5"/>
    </row>
    <row r="797" spans="3:11" x14ac:dyDescent="0.25">
      <c r="C797" s="5"/>
      <c r="D797" s="5"/>
      <c r="E797" s="5"/>
      <c r="F797" s="5"/>
      <c r="G797" s="5"/>
      <c r="H797" s="5"/>
      <c r="I797" s="5"/>
      <c r="J797" s="5"/>
      <c r="K797" s="5"/>
    </row>
    <row r="798" spans="3:11" x14ac:dyDescent="0.25">
      <c r="C798" s="5"/>
      <c r="D798" s="5"/>
      <c r="E798" s="5"/>
      <c r="F798" s="5"/>
      <c r="G798" s="5"/>
      <c r="H798" s="5"/>
      <c r="I798" s="5"/>
      <c r="J798" s="5"/>
      <c r="K798" s="5"/>
    </row>
    <row r="799" spans="3:11" x14ac:dyDescent="0.25">
      <c r="C799" s="5"/>
      <c r="D799" s="5"/>
      <c r="E799" s="5"/>
      <c r="F799" s="5"/>
      <c r="G799" s="5"/>
      <c r="H799" s="5"/>
      <c r="I799" s="5"/>
      <c r="J799" s="5"/>
      <c r="K799" s="5"/>
    </row>
    <row r="800" spans="3:11" x14ac:dyDescent="0.25">
      <c r="C800" s="5"/>
      <c r="D800" s="5"/>
      <c r="E800" s="5"/>
      <c r="F800" s="5"/>
      <c r="G800" s="5"/>
      <c r="H800" s="5"/>
      <c r="I800" s="5"/>
      <c r="J800" s="5"/>
      <c r="K800" s="5"/>
    </row>
    <row r="801" spans="3:11" x14ac:dyDescent="0.25">
      <c r="C801" s="5"/>
      <c r="D801" s="5"/>
      <c r="E801" s="5"/>
      <c r="F801" s="5"/>
      <c r="G801" s="5"/>
      <c r="H801" s="5"/>
      <c r="I801" s="5"/>
      <c r="J801" s="5"/>
      <c r="K801" s="5"/>
    </row>
    <row r="802" spans="3:11" x14ac:dyDescent="0.25">
      <c r="C802" s="5"/>
      <c r="D802" s="5"/>
      <c r="E802" s="5"/>
      <c r="F802" s="5"/>
      <c r="G802" s="5"/>
      <c r="H802" s="5"/>
      <c r="I802" s="5"/>
      <c r="J802" s="5"/>
      <c r="K802" s="5"/>
    </row>
    <row r="803" spans="3:11" x14ac:dyDescent="0.25">
      <c r="C803" s="5"/>
      <c r="D803" s="5"/>
      <c r="E803" s="5"/>
      <c r="F803" s="5"/>
      <c r="G803" s="5"/>
      <c r="H803" s="5"/>
      <c r="I803" s="5"/>
      <c r="J803" s="5"/>
      <c r="K803" s="5"/>
    </row>
    <row r="804" spans="3:11" x14ac:dyDescent="0.25">
      <c r="C804" s="5"/>
      <c r="D804" s="5"/>
      <c r="E804" s="5"/>
      <c r="F804" s="5"/>
      <c r="G804" s="5"/>
      <c r="H804" s="5"/>
      <c r="I804" s="5"/>
      <c r="J804" s="5"/>
      <c r="K804" s="5"/>
    </row>
    <row r="805" spans="3:11" x14ac:dyDescent="0.25">
      <c r="C805" s="5"/>
      <c r="D805" s="5"/>
      <c r="E805" s="5"/>
      <c r="F805" s="5"/>
      <c r="G805" s="5"/>
      <c r="H805" s="5"/>
      <c r="I805" s="5"/>
      <c r="J805" s="5"/>
      <c r="K805" s="5"/>
    </row>
    <row r="806" spans="3:11" x14ac:dyDescent="0.25">
      <c r="C806" s="5"/>
      <c r="D806" s="5"/>
      <c r="E806" s="5"/>
      <c r="F806" s="5"/>
      <c r="G806" s="5"/>
      <c r="H806" s="5"/>
      <c r="I806" s="5"/>
      <c r="J806" s="5"/>
      <c r="K806" s="5"/>
    </row>
    <row r="807" spans="3:11" x14ac:dyDescent="0.25">
      <c r="C807" s="5"/>
      <c r="D807" s="5"/>
      <c r="E807" s="5"/>
      <c r="F807" s="5"/>
      <c r="G807" s="5"/>
      <c r="H807" s="5"/>
      <c r="I807" s="5"/>
      <c r="J807" s="5"/>
      <c r="K807" s="5"/>
    </row>
    <row r="808" spans="3:11" x14ac:dyDescent="0.25">
      <c r="C808" s="5"/>
      <c r="D808" s="5"/>
      <c r="E808" s="5"/>
      <c r="F808" s="5"/>
      <c r="G808" s="5"/>
      <c r="H808" s="5"/>
      <c r="I808" s="5"/>
      <c r="J808" s="5"/>
      <c r="K808" s="5"/>
    </row>
    <row r="809" spans="3:11" x14ac:dyDescent="0.25">
      <c r="C809" s="5"/>
      <c r="D809" s="5"/>
      <c r="E809" s="5"/>
      <c r="F809" s="5"/>
      <c r="G809" s="5"/>
      <c r="H809" s="5"/>
      <c r="I809" s="5"/>
      <c r="J809" s="5"/>
      <c r="K809" s="5"/>
    </row>
    <row r="810" spans="3:11" x14ac:dyDescent="0.25">
      <c r="C810" s="5"/>
      <c r="D810" s="5"/>
      <c r="E810" s="5"/>
      <c r="F810" s="5"/>
      <c r="G810" s="5"/>
      <c r="H810" s="5"/>
      <c r="I810" s="5"/>
      <c r="J810" s="5"/>
      <c r="K810" s="5"/>
    </row>
    <row r="811" spans="3:11" x14ac:dyDescent="0.25">
      <c r="C811" s="5"/>
      <c r="D811" s="5"/>
      <c r="E811" s="5"/>
      <c r="F811" s="5"/>
      <c r="G811" s="5"/>
      <c r="H811" s="5"/>
      <c r="I811" s="5"/>
      <c r="J811" s="5"/>
      <c r="K811" s="5"/>
    </row>
    <row r="812" spans="3:11" x14ac:dyDescent="0.25">
      <c r="C812" s="5"/>
      <c r="D812" s="5"/>
      <c r="E812" s="5"/>
      <c r="F812" s="5"/>
      <c r="G812" s="5"/>
      <c r="H812" s="5"/>
      <c r="I812" s="5"/>
      <c r="J812" s="5"/>
      <c r="K812" s="5"/>
    </row>
    <row r="813" spans="3:11" x14ac:dyDescent="0.25">
      <c r="C813" s="5"/>
      <c r="D813" s="5"/>
      <c r="E813" s="5"/>
      <c r="F813" s="5"/>
      <c r="G813" s="5"/>
      <c r="H813" s="5"/>
      <c r="I813" s="5"/>
      <c r="J813" s="5"/>
      <c r="K813" s="5"/>
    </row>
    <row r="814" spans="3:11" x14ac:dyDescent="0.25">
      <c r="C814" s="5"/>
      <c r="D814" s="5"/>
      <c r="E814" s="5"/>
      <c r="F814" s="5"/>
      <c r="G814" s="5"/>
      <c r="H814" s="5"/>
      <c r="I814" s="5"/>
      <c r="J814" s="5"/>
      <c r="K814" s="5"/>
    </row>
    <row r="815" spans="3:11" x14ac:dyDescent="0.25">
      <c r="C815" s="5"/>
      <c r="D815" s="5"/>
      <c r="E815" s="5"/>
      <c r="F815" s="5"/>
      <c r="G815" s="5"/>
      <c r="H815" s="5"/>
      <c r="I815" s="5"/>
      <c r="J815" s="5"/>
      <c r="K815" s="5"/>
    </row>
    <row r="816" spans="3:11" x14ac:dyDescent="0.25">
      <c r="C816" s="5"/>
      <c r="D816" s="5"/>
      <c r="E816" s="5"/>
      <c r="F816" s="5"/>
      <c r="G816" s="5"/>
      <c r="H816" s="5"/>
      <c r="I816" s="5"/>
      <c r="J816" s="5"/>
      <c r="K816" s="5"/>
    </row>
    <row r="817" spans="3:11" x14ac:dyDescent="0.25">
      <c r="C817" s="5"/>
      <c r="D817" s="5"/>
      <c r="E817" s="5"/>
      <c r="F817" s="5"/>
      <c r="G817" s="5"/>
      <c r="H817" s="5"/>
      <c r="I817" s="5"/>
      <c r="J817" s="5"/>
      <c r="K817" s="5"/>
    </row>
    <row r="818" spans="3:11" x14ac:dyDescent="0.25">
      <c r="C818" s="5"/>
      <c r="D818" s="5"/>
      <c r="E818" s="5"/>
      <c r="F818" s="5"/>
      <c r="G818" s="5"/>
      <c r="H818" s="5"/>
      <c r="I818" s="5"/>
      <c r="J818" s="5"/>
      <c r="K818" s="5"/>
    </row>
    <row r="819" spans="3:11" x14ac:dyDescent="0.25">
      <c r="C819" s="5"/>
      <c r="D819" s="5"/>
      <c r="E819" s="5"/>
      <c r="F819" s="5"/>
      <c r="G819" s="5"/>
      <c r="H819" s="5"/>
      <c r="I819" s="5"/>
      <c r="J819" s="5"/>
      <c r="K819" s="5"/>
    </row>
    <row r="820" spans="3:11" x14ac:dyDescent="0.25">
      <c r="C820" s="5"/>
      <c r="D820" s="5"/>
      <c r="E820" s="5"/>
      <c r="F820" s="5"/>
      <c r="G820" s="5"/>
      <c r="H820" s="5"/>
      <c r="I820" s="5"/>
      <c r="J820" s="5"/>
      <c r="K820" s="5"/>
    </row>
    <row r="821" spans="3:11" x14ac:dyDescent="0.25">
      <c r="C821" s="5"/>
      <c r="D821" s="5"/>
      <c r="E821" s="5"/>
      <c r="F821" s="5"/>
      <c r="G821" s="5"/>
      <c r="H821" s="5"/>
      <c r="I821" s="5"/>
      <c r="J821" s="5"/>
      <c r="K821" s="5"/>
    </row>
    <row r="822" spans="3:11" x14ac:dyDescent="0.25">
      <c r="C822" s="5"/>
      <c r="D822" s="5"/>
      <c r="E822" s="5"/>
      <c r="F822" s="5"/>
      <c r="G822" s="5"/>
      <c r="H822" s="5"/>
      <c r="I822" s="5"/>
      <c r="J822" s="5"/>
      <c r="K822" s="5"/>
    </row>
    <row r="823" spans="3:11" x14ac:dyDescent="0.25">
      <c r="C823" s="5"/>
      <c r="D823" s="5"/>
      <c r="E823" s="5"/>
      <c r="F823" s="5"/>
      <c r="G823" s="5"/>
      <c r="H823" s="5"/>
      <c r="I823" s="5"/>
      <c r="J823" s="5"/>
      <c r="K823" s="5"/>
    </row>
    <row r="824" spans="3:11" x14ac:dyDescent="0.25">
      <c r="C824" s="5"/>
      <c r="D824" s="5"/>
      <c r="E824" s="5"/>
      <c r="F824" s="5"/>
      <c r="G824" s="5"/>
      <c r="H824" s="5"/>
      <c r="I824" s="5"/>
      <c r="J824" s="5"/>
      <c r="K824" s="5"/>
    </row>
    <row r="825" spans="3:11" x14ac:dyDescent="0.25">
      <c r="C825" s="5"/>
      <c r="D825" s="5"/>
      <c r="E825" s="5"/>
      <c r="F825" s="5"/>
      <c r="G825" s="5"/>
      <c r="H825" s="5"/>
      <c r="I825" s="5"/>
      <c r="J825" s="5"/>
      <c r="K825" s="5"/>
    </row>
    <row r="826" spans="3:11" x14ac:dyDescent="0.25">
      <c r="C826" s="5"/>
      <c r="D826" s="5"/>
      <c r="E826" s="5"/>
      <c r="F826" s="5"/>
      <c r="G826" s="5"/>
      <c r="H826" s="5"/>
      <c r="I826" s="5"/>
      <c r="J826" s="5"/>
      <c r="K826" s="5"/>
    </row>
    <row r="827" spans="3:11" x14ac:dyDescent="0.25">
      <c r="C827" s="5"/>
      <c r="D827" s="5"/>
      <c r="E827" s="5"/>
      <c r="F827" s="5"/>
      <c r="G827" s="5"/>
      <c r="H827" s="5"/>
      <c r="I827" s="5"/>
      <c r="J827" s="5"/>
      <c r="K827" s="5"/>
    </row>
  </sheetData>
  <autoFilter ref="A1:K223" xr:uid="{476EB7E7-C974-4FEE-B95B-98060B0BBA12}">
    <filterColumn colId="6">
      <filters>
        <filter val="Executive government"/>
        <filter val="Judiciary"/>
        <filter val="Local government"/>
        <filter val="Military"/>
      </filters>
    </filterColumn>
    <filterColumn colId="7">
      <filters>
        <filter val="Communal violence"/>
        <filter val="Conflict"/>
        <filter val="Elections"/>
        <filter val="Information control"/>
        <filter val="Political instability"/>
        <filter val="Protests"/>
      </filters>
    </filterColumn>
  </autoFilter>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2025-11-03T17:45:04Z</dcterms:created>
  <dcterms:modified xsi:type="dcterms:W3CDTF">2025-11-05T05:12:43Z</dcterms:modified>
</cp:coreProperties>
</file>